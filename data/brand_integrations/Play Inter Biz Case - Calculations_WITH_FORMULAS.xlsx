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y Inter Biz Case - Calculati" sheetId="1" state="visible" r:id="rId1"/>
    <sheet xmlns:r="http://schemas.openxmlformats.org/officeDocument/2006/relationships" name="NEW USERS Play Inter Biz Case 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9" fontId="1" fillId="0" borderId="0" pivotButton="0" quotePrefix="0" xfId="0"/>
    <xf numFmtId="1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2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88" customWidth="1" style="6" min="3" max="3"/>
    <col width="17.88" customWidth="1" style="6" min="4" max="4"/>
  </cols>
  <sheetData>
    <row r="1">
      <c r="A1" s="1" t="inlineStr">
        <is>
          <t>Tier</t>
        </is>
      </c>
      <c r="B1" s="1" t="inlineStr">
        <is>
          <t>Country</t>
        </is>
      </c>
      <c r="C1" s="1" t="inlineStr">
        <is>
          <t>Total Game Sessions</t>
        </is>
      </c>
      <c r="D1" s="1" t="inlineStr">
        <is>
          <t>Total Unique Users</t>
        </is>
      </c>
      <c r="E1" s="1" t="inlineStr">
        <is>
          <t>Match Per User</t>
        </is>
      </c>
      <c r="F1" s="1" t="inlineStr">
        <is>
          <t>Impressions per Month</t>
        </is>
      </c>
      <c r="G1" s="1" t="inlineStr">
        <is>
          <t>20% Fill</t>
        </is>
      </c>
      <c r="H1" s="1" t="inlineStr">
        <is>
          <t>$10 CPM</t>
        </is>
      </c>
      <c r="I1" s="1" t="inlineStr">
        <is>
          <t>$15 CPM</t>
        </is>
      </c>
      <c r="J1" s="1" t="inlineStr">
        <is>
          <t>$20 CPM</t>
        </is>
      </c>
      <c r="K1" s="1" t="inlineStr">
        <is>
          <t>10% Fill</t>
        </is>
      </c>
      <c r="L1" s="1" t="inlineStr">
        <is>
          <t>$5 CPM (10% Fill)</t>
        </is>
      </c>
      <c r="M1" s="1" t="inlineStr">
        <is>
          <t>House Ads fill (80%)</t>
        </is>
      </c>
      <c r="N1" s="1" t="inlineStr">
        <is>
          <t>Subs conversion rate</t>
        </is>
      </c>
      <c r="O1" s="1" t="inlineStr">
        <is>
          <t>Subs Cannibalisation (50%)</t>
        </is>
      </c>
      <c r="P1" s="1" t="inlineStr">
        <is>
          <t>Subs Rev</t>
        </is>
      </c>
      <c r="Q1" s="1" t="inlineStr">
        <is>
          <t>TOT REV (Ad + Subs)</t>
        </is>
      </c>
    </row>
    <row r="2">
      <c r="A2" s="1" t="inlineStr">
        <is>
          <t>Tier 1</t>
        </is>
      </c>
      <c r="B2" s="1" t="inlineStr">
        <is>
          <t>DE</t>
        </is>
      </c>
      <c r="C2" s="2" t="n">
        <v>1343721</v>
      </c>
      <c r="D2" s="2" t="n">
        <v>60037</v>
      </c>
      <c r="E2" s="1">
        <f>IFERROR(ROUND(C2/D2,0),"")</f>
        <v/>
      </c>
      <c r="F2" s="2">
        <f>IF(D2="","",D2*$B$244)</f>
        <v/>
      </c>
      <c r="G2" s="2">
        <f>IF(F2="","",ROUND(F2*$B$246,0))</f>
        <v/>
      </c>
      <c r="H2" s="3">
        <f>IF(G2="","",ROUND(G2*10/1000,0))</f>
        <v/>
      </c>
      <c r="I2" s="3">
        <f>IF(G2="","",ROUND(G2*15/1000,0))</f>
        <v/>
      </c>
      <c r="J2" s="3">
        <f>IF(G2="","",ROUND(G2*20/1000,0))</f>
        <v/>
      </c>
      <c r="K2" s="2">
        <f>IF(F2="","",ROUND(F2*0.10,0))</f>
        <v/>
      </c>
      <c r="L2" s="3" t="n">
        <v>0</v>
      </c>
      <c r="M2" s="2">
        <f>IF(F2="","",ROUND(F2*$B$247,0))</f>
        <v/>
      </c>
      <c r="N2" s="1">
        <f>IF(M2="","",ROUND(M2*$B$248,0))</f>
        <v/>
      </c>
      <c r="O2" s="1">
        <f>IF(N2="","",ROUND(N2*$B$249,0))</f>
        <v/>
      </c>
      <c r="P2" s="3">
        <f>IF(O2="","",ROUND(O2*7.30,0))</f>
        <v/>
      </c>
      <c r="Q2" s="3">
        <f>IF(I2="","",I2+P2)</f>
        <v/>
      </c>
    </row>
    <row r="3">
      <c r="A3" s="1" t="inlineStr">
        <is>
          <t>Tier 1</t>
        </is>
      </c>
      <c r="B3" s="1" t="inlineStr">
        <is>
          <t>US</t>
        </is>
      </c>
      <c r="C3" s="2" t="n">
        <v>907422</v>
      </c>
      <c r="D3" s="2" t="n">
        <v>42818</v>
      </c>
      <c r="E3" s="1">
        <f>IFERROR(ROUND(C3/D3,0),"")</f>
        <v/>
      </c>
      <c r="F3" s="2">
        <f>IF(D3="","",D3*$B$244)</f>
        <v/>
      </c>
      <c r="G3" s="2">
        <f>IF(F3="","",ROUND(F3*$B$246,0))</f>
        <v/>
      </c>
      <c r="H3" s="3">
        <f>IF(G3="","",ROUND(G3*10/1000,0))</f>
        <v/>
      </c>
      <c r="I3" s="3">
        <f>IF(G3="","",ROUND(G3*15/1000,0))</f>
        <v/>
      </c>
      <c r="J3" s="3">
        <f>IF(G3="","",ROUND(G3*20/1000,0))</f>
        <v/>
      </c>
      <c r="K3" s="2">
        <f>IF(F3="","",ROUND(F3*0.10,0))</f>
        <v/>
      </c>
      <c r="L3" s="3" t="n">
        <v>0</v>
      </c>
      <c r="M3" s="2">
        <f>IF(F3="","",ROUND(F3*$B$247,0))</f>
        <v/>
      </c>
      <c r="N3" s="1">
        <f>IF(M3="","",ROUND(M3*$B$248,0))</f>
        <v/>
      </c>
      <c r="O3" s="1">
        <f>IF(N3="","",ROUND(N3*$B$249,0))</f>
        <v/>
      </c>
      <c r="P3" s="3">
        <f>IF(O3="","",ROUND(O3*7.30,0))</f>
        <v/>
      </c>
      <c r="Q3" s="3">
        <f>IF(I3="","",I3+P3)</f>
        <v/>
      </c>
    </row>
    <row r="4">
      <c r="A4" s="1" t="inlineStr">
        <is>
          <t>Tier 1</t>
        </is>
      </c>
      <c r="B4" s="1" t="inlineStr">
        <is>
          <t>FR</t>
        </is>
      </c>
      <c r="C4" s="2" t="n">
        <v>615184</v>
      </c>
      <c r="D4" s="2" t="n">
        <v>27113</v>
      </c>
      <c r="E4" s="1">
        <f>IFERROR(ROUND(C4/D4,0),"")</f>
        <v/>
      </c>
      <c r="F4" s="2">
        <f>IF(D4="","",D4*$B$244)</f>
        <v/>
      </c>
      <c r="G4" s="2">
        <f>IF(F4="","",ROUND(F4*$B$246,0))</f>
        <v/>
      </c>
      <c r="H4" s="3">
        <f>IF(G4="","",ROUND(G4*10/1000,0))</f>
        <v/>
      </c>
      <c r="I4" s="3">
        <f>IF(G4="","",ROUND(G4*15/1000,0))</f>
        <v/>
      </c>
      <c r="J4" s="3">
        <f>IF(G4="","",ROUND(G4*20/1000,0))</f>
        <v/>
      </c>
      <c r="K4" s="2">
        <f>IF(F4="","",ROUND(F4*0.10,0))</f>
        <v/>
      </c>
      <c r="L4" s="3" t="n">
        <v>0</v>
      </c>
      <c r="M4" s="2">
        <f>IF(F4="","",ROUND(F4*$B$247,0))</f>
        <v/>
      </c>
      <c r="N4" s="1">
        <f>IF(M4="","",ROUND(M4*$B$248,0))</f>
        <v/>
      </c>
      <c r="O4" s="1">
        <f>IF(N4="","",ROUND(N4*$B$249,0))</f>
        <v/>
      </c>
      <c r="P4" s="3">
        <f>IF(O4="","",ROUND(O4*7.30,0))</f>
        <v/>
      </c>
      <c r="Q4" s="3">
        <f>IF(I4="","",I4+P4)</f>
        <v/>
      </c>
    </row>
    <row r="5">
      <c r="A5" s="1" t="inlineStr">
        <is>
          <t>Tier 1</t>
        </is>
      </c>
      <c r="B5" s="1" t="inlineStr">
        <is>
          <t>GB</t>
        </is>
      </c>
      <c r="C5" s="2" t="n">
        <v>580709</v>
      </c>
      <c r="D5" s="2" t="n">
        <v>22315</v>
      </c>
      <c r="E5" s="1">
        <f>IFERROR(ROUND(C5/D5,0),"")</f>
        <v/>
      </c>
      <c r="F5" s="2">
        <f>IF(D5="","",D5*$B$244)</f>
        <v/>
      </c>
      <c r="G5" s="2">
        <f>IF(F5="","",ROUND(F5*$B$246,0))</f>
        <v/>
      </c>
      <c r="H5" s="3">
        <f>IF(G5="","",ROUND(G5*10/1000,0))</f>
        <v/>
      </c>
      <c r="I5" s="3">
        <f>IF(G5="","",ROUND(G5*15/1000,0))</f>
        <v/>
      </c>
      <c r="J5" s="3">
        <f>IF(G5="","",ROUND(G5*20/1000,0))</f>
        <v/>
      </c>
      <c r="K5" s="2">
        <f>IF(F5="","",ROUND(F5*0.10,0))</f>
        <v/>
      </c>
      <c r="L5" s="3" t="n">
        <v>0</v>
      </c>
      <c r="M5" s="2">
        <f>IF(F5="","",ROUND(F5*$B$247,0))</f>
        <v/>
      </c>
      <c r="N5" s="1">
        <f>IF(M5="","",ROUND(M5*$B$248,0))</f>
        <v/>
      </c>
      <c r="O5" s="1">
        <f>IF(N5="","",ROUND(N5*$B$249,0))</f>
        <v/>
      </c>
      <c r="P5" s="3">
        <f>IF(O5="","",ROUND(O5*7.30,0))</f>
        <v/>
      </c>
      <c r="Q5" s="3">
        <f>IF(I5="","",I5+P5)</f>
        <v/>
      </c>
    </row>
    <row r="6">
      <c r="A6" s="1" t="inlineStr">
        <is>
          <t>Tier 1</t>
        </is>
      </c>
      <c r="B6" s="1" t="inlineStr">
        <is>
          <t>ES</t>
        </is>
      </c>
      <c r="C6" s="2" t="n">
        <v>275272</v>
      </c>
      <c r="D6" s="2" t="n">
        <v>11598</v>
      </c>
      <c r="E6" s="1">
        <f>IFERROR(ROUND(C6/D6,0),"")</f>
        <v/>
      </c>
      <c r="F6" s="2">
        <f>IF(D6="","",D6*$B$244)</f>
        <v/>
      </c>
      <c r="G6" s="2">
        <f>IF(F6="","",ROUND(F6*$B$246,0))</f>
        <v/>
      </c>
      <c r="H6" s="3">
        <f>IF(G6="","",ROUND(G6*10/1000,0))</f>
        <v/>
      </c>
      <c r="I6" s="3">
        <f>IF(G6="","",ROUND(G6*15/1000,0))</f>
        <v/>
      </c>
      <c r="J6" s="3">
        <f>IF(G6="","",ROUND(G6*20/1000,0))</f>
        <v/>
      </c>
      <c r="K6" s="2">
        <f>IF(F6="","",ROUND(F6*0.10,0))</f>
        <v/>
      </c>
      <c r="L6" s="3" t="n">
        <v>0</v>
      </c>
      <c r="M6" s="2">
        <f>IF(F6="","",ROUND(F6*$B$247,0))</f>
        <v/>
      </c>
      <c r="N6" s="1">
        <f>IF(M6="","",ROUND(M6*$B$248,0))</f>
        <v/>
      </c>
      <c r="O6" s="1">
        <f>IF(N6="","",ROUND(N6*$B$249,0))</f>
        <v/>
      </c>
      <c r="P6" s="3">
        <f>IF(O6="","",ROUND(O6*7.30,0))</f>
        <v/>
      </c>
      <c r="Q6" s="3">
        <f>IF(I6="","",I6+P6)</f>
        <v/>
      </c>
    </row>
    <row r="7">
      <c r="A7" s="1" t="inlineStr">
        <is>
          <t>Tier 1</t>
        </is>
      </c>
      <c r="B7" s="1" t="inlineStr">
        <is>
          <t>CA</t>
        </is>
      </c>
      <c r="C7" s="2" t="n">
        <v>244014</v>
      </c>
      <c r="D7" s="2" t="n">
        <v>9510</v>
      </c>
      <c r="E7" s="1">
        <f>IFERROR(ROUND(C7/D7,0),"")</f>
        <v/>
      </c>
      <c r="F7" s="2">
        <f>IF(D7="","",D7*$B$244)</f>
        <v/>
      </c>
      <c r="G7" s="2">
        <f>IF(F7="","",ROUND(F7*$B$246,0))</f>
        <v/>
      </c>
      <c r="H7" s="3">
        <f>IF(G7="","",ROUND(G7*10/1000,0))</f>
        <v/>
      </c>
      <c r="I7" s="3">
        <f>IF(G7="","",ROUND(G7*15/1000,0))</f>
        <v/>
      </c>
      <c r="J7" s="3">
        <f>IF(G7="","",ROUND(G7*20/1000,0))</f>
        <v/>
      </c>
      <c r="K7" s="2">
        <f>IF(F7="","",ROUND(F7*0.10,0))</f>
        <v/>
      </c>
      <c r="L7" s="3" t="n">
        <v>0</v>
      </c>
      <c r="M7" s="2">
        <f>IF(F7="","",ROUND(F7*$B$247,0))</f>
        <v/>
      </c>
      <c r="N7" s="1">
        <f>IF(M7="","",ROUND(M7*$B$248,0))</f>
        <v/>
      </c>
      <c r="O7" s="1">
        <f>IF(N7="","",ROUND(N7*$B$249,0))</f>
        <v/>
      </c>
      <c r="P7" s="3">
        <f>IF(O7="","",ROUND(O7*7.30,0))</f>
        <v/>
      </c>
      <c r="Q7" s="3">
        <f>IF(I7="","",I7+P7)</f>
        <v/>
      </c>
    </row>
    <row r="8">
      <c r="A8" s="1" t="inlineStr">
        <is>
          <t>Tier 1</t>
        </is>
      </c>
      <c r="B8" s="1" t="inlineStr">
        <is>
          <t>AU</t>
        </is>
      </c>
      <c r="C8" s="2" t="n">
        <v>127843</v>
      </c>
      <c r="D8" s="2" t="n">
        <v>5646</v>
      </c>
      <c r="E8" s="1">
        <f>IFERROR(ROUND(C8/D8,0),"")</f>
        <v/>
      </c>
      <c r="F8" s="2">
        <f>IF(D8="","",D8*$B$244)</f>
        <v/>
      </c>
      <c r="G8" s="2">
        <f>IF(F8="","",ROUND(F8*$B$246,0))</f>
        <v/>
      </c>
      <c r="H8" s="3">
        <f>IF(G8="","",ROUND(G8*10/1000,0))</f>
        <v/>
      </c>
      <c r="I8" s="3">
        <f>IF(G8="","",ROUND(G8*15/1000,0))</f>
        <v/>
      </c>
      <c r="J8" s="3">
        <f>IF(G8="","",ROUND(G8*20/1000,0))</f>
        <v/>
      </c>
      <c r="K8" s="2">
        <f>IF(F8="","",ROUND(F8*0.10,0))</f>
        <v/>
      </c>
      <c r="L8" s="3" t="n">
        <v>0</v>
      </c>
      <c r="M8" s="2">
        <f>IF(F8="","",ROUND(F8*$B$247,0))</f>
        <v/>
      </c>
      <c r="N8" s="1">
        <f>IF(M8="","",ROUND(M8*$B$248,0))</f>
        <v/>
      </c>
      <c r="O8" s="1">
        <f>IF(N8="","",ROUND(N8*$B$249,0))</f>
        <v/>
      </c>
      <c r="P8" s="3">
        <f>IF(O8="","",ROUND(O8*7.30,0))</f>
        <v/>
      </c>
      <c r="Q8" s="3">
        <f>IF(I8="","",I8+P8)</f>
        <v/>
      </c>
    </row>
    <row r="9">
      <c r="A9" s="1" t="inlineStr">
        <is>
          <t>Tier 1</t>
        </is>
      </c>
      <c r="B9" s="1" t="inlineStr">
        <is>
          <t>IT</t>
        </is>
      </c>
      <c r="C9" s="2" t="n">
        <v>136085</v>
      </c>
      <c r="D9" s="2" t="n">
        <v>4784</v>
      </c>
      <c r="E9" s="1">
        <f>IFERROR(ROUND(C9/D9,0),"")</f>
        <v/>
      </c>
      <c r="F9" s="2">
        <f>IF(D9="","",D9*$B$244)</f>
        <v/>
      </c>
      <c r="G9" s="2">
        <f>IF(F9="","",ROUND(F9*$B$246,0))</f>
        <v/>
      </c>
      <c r="H9" s="3">
        <f>IF(G9="","",ROUND(G9*10/1000,0))</f>
        <v/>
      </c>
      <c r="I9" s="3">
        <f>IF(G9="","",ROUND(G9*15/1000,0))</f>
        <v/>
      </c>
      <c r="J9" s="3">
        <f>IF(G9="","",ROUND(G9*20/1000,0))</f>
        <v/>
      </c>
      <c r="K9" s="2">
        <f>IF(F9="","",ROUND(F9*0.10,0))</f>
        <v/>
      </c>
      <c r="L9" s="3" t="n">
        <v>0</v>
      </c>
      <c r="M9" s="2">
        <f>IF(F9="","",ROUND(F9*$B$247,0))</f>
        <v/>
      </c>
      <c r="N9" s="1">
        <f>IF(M9="","",ROUND(M9*$B$248,0))</f>
        <v/>
      </c>
      <c r="O9" s="1">
        <f>IF(N9="","",ROUND(N9*$B$249,0))</f>
        <v/>
      </c>
      <c r="P9" s="3">
        <f>IF(O9="","",ROUND(O9*7.30,0))</f>
        <v/>
      </c>
      <c r="Q9" s="3">
        <f>IF(I9="","",I9+P9)</f>
        <v/>
      </c>
    </row>
    <row r="10">
      <c r="A10" s="1" t="inlineStr">
        <is>
          <t>Tier 2</t>
        </is>
      </c>
      <c r="B10" s="1" t="inlineStr">
        <is>
          <t>PL</t>
        </is>
      </c>
      <c r="C10" s="2" t="n">
        <v>5035764</v>
      </c>
      <c r="D10" s="2" t="n">
        <v>156508</v>
      </c>
      <c r="E10" s="1">
        <f>IFERROR(ROUND(C10/D10,0),"")</f>
        <v/>
      </c>
      <c r="F10" s="2">
        <f>IF(D10="","",D10*$B$244)</f>
        <v/>
      </c>
      <c r="G10" s="2">
        <f>IF(F10="","",ROUND(F10*$B$246,0))</f>
        <v/>
      </c>
      <c r="H10" s="3">
        <f>IF(G10="","",ROUND(G10*10/1000,0))</f>
        <v/>
      </c>
      <c r="I10" s="3">
        <f>IF(G10="","",ROUND(G10*15/1000,0))</f>
        <v/>
      </c>
      <c r="J10" s="3">
        <f>IF(G10="","",ROUND(G10*20/1000,0))</f>
        <v/>
      </c>
      <c r="K10" s="2">
        <f>IF(F10="","",ROUND(F10*0.10,0))</f>
        <v/>
      </c>
      <c r="L10" s="3" t="n">
        <v>0</v>
      </c>
      <c r="M10" s="2">
        <f>IF(F10="","",ROUND(F10*$B$247,0))</f>
        <v/>
      </c>
      <c r="N10" s="2">
        <f>IF(M10="","",ROUND(M10*$B$248,0))</f>
        <v/>
      </c>
      <c r="O10" s="1">
        <f>IF(N10="","",ROUND(N10*$B$249,0))</f>
        <v/>
      </c>
      <c r="P10" s="3">
        <f>IF(O10="","",ROUND(O10*7.30,0))</f>
        <v/>
      </c>
      <c r="Q10" s="3">
        <f>IF(I10="","",I10+P10)</f>
        <v/>
      </c>
    </row>
    <row r="11">
      <c r="A11" s="1" t="inlineStr">
        <is>
          <t>Tier 2</t>
        </is>
      </c>
      <c r="B11" s="1" t="inlineStr">
        <is>
          <t>FI</t>
        </is>
      </c>
      <c r="C11" s="2" t="n">
        <v>870367</v>
      </c>
      <c r="D11" s="2" t="n">
        <v>29566</v>
      </c>
      <c r="E11" s="1">
        <f>IFERROR(ROUND(C11/D11,0),"")</f>
        <v/>
      </c>
      <c r="F11" s="2">
        <f>IF(D11="","",D11*$B$244)</f>
        <v/>
      </c>
      <c r="G11" s="2">
        <f>IF(F11="","",ROUND(F11*$B$246,0))</f>
        <v/>
      </c>
      <c r="H11" s="3">
        <f>IF(G11="","",ROUND(G11*10/1000,0))</f>
        <v/>
      </c>
      <c r="I11" s="3">
        <f>IF(G11="","",ROUND(G11*15/1000,0))</f>
        <v/>
      </c>
      <c r="J11" s="3">
        <f>IF(G11="","",ROUND(G11*20/1000,0))</f>
        <v/>
      </c>
      <c r="K11" s="2">
        <f>IF(F11="","",ROUND(F11*0.10,0))</f>
        <v/>
      </c>
      <c r="L11" s="3" t="n">
        <v>0</v>
      </c>
      <c r="M11" s="2">
        <f>IF(F11="","",ROUND(F11*$B$247,0))</f>
        <v/>
      </c>
      <c r="N11" s="1">
        <f>IF(M11="","",ROUND(M11*$B$248,0))</f>
        <v/>
      </c>
      <c r="O11" s="1">
        <f>IF(N11="","",ROUND(N11*$B$249,0))</f>
        <v/>
      </c>
      <c r="P11" s="3">
        <f>IF(O11="","",ROUND(O11*7.30,0))</f>
        <v/>
      </c>
      <c r="Q11" s="3">
        <f>IF(I11="","",I11+P11)</f>
        <v/>
      </c>
    </row>
    <row r="12">
      <c r="A12" s="1" t="inlineStr">
        <is>
          <t>Tier 2</t>
        </is>
      </c>
      <c r="B12" s="1" t="inlineStr">
        <is>
          <t>PT</t>
        </is>
      </c>
      <c r="C12" s="2" t="n">
        <v>842328</v>
      </c>
      <c r="D12" s="2" t="n">
        <v>28514</v>
      </c>
      <c r="E12" s="1">
        <f>IFERROR(ROUND(C12/D12,0),"")</f>
        <v/>
      </c>
      <c r="F12" s="2">
        <f>IF(D12="","",D12*$B$244)</f>
        <v/>
      </c>
      <c r="G12" s="2">
        <f>IF(F12="","",ROUND(F12*$B$246,0))</f>
        <v/>
      </c>
      <c r="H12" s="3">
        <f>IF(G12="","",ROUND(G12*10/1000,0))</f>
        <v/>
      </c>
      <c r="I12" s="3">
        <f>IF(G12="","",ROUND(G12*15/1000,0))</f>
        <v/>
      </c>
      <c r="J12" s="3">
        <f>IF(G12="","",ROUND(G12*20/1000,0))</f>
        <v/>
      </c>
      <c r="K12" s="2">
        <f>IF(F12="","",ROUND(F12*0.10,0))</f>
        <v/>
      </c>
      <c r="L12" s="3" t="n">
        <v>0</v>
      </c>
      <c r="M12" s="2">
        <f>IF(F12="","",ROUND(F12*$B$247,0))</f>
        <v/>
      </c>
      <c r="N12" s="1">
        <f>IF(M12="","",ROUND(M12*$B$248,0))</f>
        <v/>
      </c>
      <c r="O12" s="1">
        <f>IF(N12="","",ROUND(N12*$B$249,0))</f>
        <v/>
      </c>
      <c r="P12" s="3">
        <f>IF(O12="","",ROUND(O12*7.30,0))</f>
        <v/>
      </c>
      <c r="Q12" s="3">
        <f>IF(I12="","",I12+P12)</f>
        <v/>
      </c>
    </row>
    <row r="13">
      <c r="A13" s="1" t="inlineStr">
        <is>
          <t>Tier 2</t>
        </is>
      </c>
      <c r="B13" s="1" t="inlineStr">
        <is>
          <t>DK</t>
        </is>
      </c>
      <c r="C13" s="2" t="n">
        <v>756479</v>
      </c>
      <c r="D13" s="2" t="n">
        <v>26190</v>
      </c>
      <c r="E13" s="1">
        <f>IFERROR(ROUND(C13/D13,0),"")</f>
        <v/>
      </c>
      <c r="F13" s="2">
        <f>IF(D13="","",D13*$B$244)</f>
        <v/>
      </c>
      <c r="G13" s="2">
        <f>IF(F13="","",ROUND(F13*$B$246,0))</f>
        <v/>
      </c>
      <c r="H13" s="3">
        <f>IF(G13="","",ROUND(G13*10/1000,0))</f>
        <v/>
      </c>
      <c r="I13" s="3">
        <f>IF(G13="","",ROUND(G13*15/1000,0))</f>
        <v/>
      </c>
      <c r="J13" s="3">
        <f>IF(G13="","",ROUND(G13*20/1000,0))</f>
        <v/>
      </c>
      <c r="K13" s="2">
        <f>IF(F13="","",ROUND(F13*0.10,0))</f>
        <v/>
      </c>
      <c r="L13" s="3" t="n">
        <v>0</v>
      </c>
      <c r="M13" s="2">
        <f>IF(F13="","",ROUND(F13*$B$247,0))</f>
        <v/>
      </c>
      <c r="N13" s="1">
        <f>IF(M13="","",ROUND(M13*$B$248,0))</f>
        <v/>
      </c>
      <c r="O13" s="1">
        <f>IF(N13="","",ROUND(N13*$B$249,0))</f>
        <v/>
      </c>
      <c r="P13" s="3">
        <f>IF(O13="","",ROUND(O13*7.30,0))</f>
        <v/>
      </c>
      <c r="Q13" s="3">
        <f>IF(I13="","",I13+P13)</f>
        <v/>
      </c>
    </row>
    <row r="14">
      <c r="A14" s="1" t="inlineStr">
        <is>
          <t>Tier 2</t>
        </is>
      </c>
      <c r="B14" s="1" t="inlineStr">
        <is>
          <t>NL</t>
        </is>
      </c>
      <c r="C14" s="2" t="n">
        <v>246982</v>
      </c>
      <c r="D14" s="2" t="n">
        <v>25111</v>
      </c>
      <c r="E14" s="1">
        <f>IFERROR(ROUND(C14/D14,0),"")</f>
        <v/>
      </c>
      <c r="F14" s="2">
        <f>IF(D14="","",D14*$B$244)</f>
        <v/>
      </c>
      <c r="G14" s="2">
        <f>IF(F14="","",ROUND(F14*$B$246,0))</f>
        <v/>
      </c>
      <c r="H14" s="3">
        <f>IF(G14="","",ROUND(G14*10/1000,0))</f>
        <v/>
      </c>
      <c r="I14" s="3">
        <f>IF(G14="","",ROUND(G14*15/1000,0))</f>
        <v/>
      </c>
      <c r="J14" s="3">
        <f>IF(G14="","",ROUND(G14*20/1000,0))</f>
        <v/>
      </c>
      <c r="K14" s="2">
        <f>IF(F14="","",ROUND(F14*0.10,0))</f>
        <v/>
      </c>
      <c r="L14" s="3" t="n">
        <v>0</v>
      </c>
      <c r="M14" s="2">
        <f>IF(F14="","",ROUND(F14*$B$247,0))</f>
        <v/>
      </c>
      <c r="N14" s="1">
        <f>IF(M14="","",ROUND(M14*$B$248,0))</f>
        <v/>
      </c>
      <c r="O14" s="1">
        <f>IF(N14="","",ROUND(N14*$B$249,0))</f>
        <v/>
      </c>
      <c r="P14" s="3">
        <f>IF(O14="","",ROUND(O14*7.30,0))</f>
        <v/>
      </c>
      <c r="Q14" s="3">
        <f>IF(I14="","",I14+P14)</f>
        <v/>
      </c>
    </row>
    <row r="15">
      <c r="A15" s="1" t="inlineStr">
        <is>
          <t>Tier 3</t>
        </is>
      </c>
      <c r="B15" s="1" t="inlineStr">
        <is>
          <t>KZ</t>
        </is>
      </c>
      <c r="C15" s="2" t="n">
        <v>5110571</v>
      </c>
      <c r="D15" s="2" t="n">
        <v>108953</v>
      </c>
      <c r="E15" s="1">
        <f>IFERROR(ROUND(C15/D15,0),"")</f>
        <v/>
      </c>
      <c r="F15" s="2">
        <f>IF(D15="","",D15*$B$244)</f>
        <v/>
      </c>
      <c r="G15" s="2">
        <f>IF(F15="","",ROUND(F15*$B$246,0))</f>
        <v/>
      </c>
      <c r="H15" s="3">
        <f>IF(G15="","",ROUND(G15*10/1000,0))</f>
        <v/>
      </c>
      <c r="I15" s="3">
        <f>IF(G15="","",ROUND(G15*15/1000,0))</f>
        <v/>
      </c>
      <c r="J15" s="3">
        <f>IF(G15="","",ROUND(G15*20/1000,0))</f>
        <v/>
      </c>
      <c r="K15" s="2">
        <f>IF(F15="","",ROUND(F15*0.10,0))</f>
        <v/>
      </c>
      <c r="L15" s="3">
        <f>IF(K15="","",ROUND(K15*5/1000,0))</f>
        <v/>
      </c>
      <c r="M15" s="2">
        <f>IF(F15="","",ROUND(F15*$B$247,0))</f>
        <v/>
      </c>
      <c r="N15" s="2">
        <f>IF(M15="","",ROUND(M15*$B$248,0))</f>
        <v/>
      </c>
      <c r="O15" s="1">
        <f>IF(N15="","",ROUND(N15*$B$249,0))</f>
        <v/>
      </c>
      <c r="P15" s="3">
        <f>IF(O15="","",ROUND(O15*7.30,0))</f>
        <v/>
      </c>
      <c r="Q15" s="3">
        <f>IF(L15="","",L15+P15)</f>
        <v/>
      </c>
    </row>
    <row r="16">
      <c r="A16" s="1" t="inlineStr">
        <is>
          <t>Tier 3</t>
        </is>
      </c>
      <c r="B16" s="1" t="inlineStr">
        <is>
          <t>UA</t>
        </is>
      </c>
      <c r="C16" s="2" t="n">
        <v>1940647</v>
      </c>
      <c r="D16" s="2" t="n">
        <v>65704</v>
      </c>
      <c r="E16" s="1">
        <f>IFERROR(ROUND(C16/D16,0),"")</f>
        <v/>
      </c>
      <c r="F16" s="2">
        <f>IF(D16="","",D16*$B$244)</f>
        <v/>
      </c>
      <c r="G16" s="2">
        <f>IF(F16="","",ROUND(F16*$B$246,0))</f>
        <v/>
      </c>
      <c r="H16" s="3">
        <f>IF(G16="","",ROUND(G16*10/1000,0))</f>
        <v/>
      </c>
      <c r="I16" s="3">
        <f>IF(G16="","",ROUND(G16*15/1000,0))</f>
        <v/>
      </c>
      <c r="J16" s="3">
        <f>IF(G16="","",ROUND(G16*20/1000,0))</f>
        <v/>
      </c>
      <c r="K16" s="2">
        <f>IF(F16="","",ROUND(F16*0.10,0))</f>
        <v/>
      </c>
      <c r="L16" s="3">
        <f>IF(K16="","",ROUND(K16*5/1000,0))</f>
        <v/>
      </c>
      <c r="M16" s="2">
        <f>IF(F16="","",ROUND(F16*$B$247,0))</f>
        <v/>
      </c>
      <c r="N16" s="1">
        <f>IF(M16="","",ROUND(M16*$B$248,0))</f>
        <v/>
      </c>
      <c r="O16" s="1">
        <f>IF(N16="","",ROUND(N16*$B$249,0))</f>
        <v/>
      </c>
      <c r="P16" s="3">
        <f>IF(O16="","",ROUND(O16*7.30,0))</f>
        <v/>
      </c>
      <c r="Q16" s="3">
        <f>IF(L16="","",L16+P16)</f>
        <v/>
      </c>
    </row>
    <row r="17">
      <c r="A17" s="1" t="inlineStr">
        <is>
          <t>Tier 3</t>
        </is>
      </c>
      <c r="B17" s="1" t="inlineStr">
        <is>
          <t>TR</t>
        </is>
      </c>
      <c r="C17" s="2" t="n">
        <v>1766617</v>
      </c>
      <c r="D17" s="2" t="n">
        <v>65024</v>
      </c>
      <c r="E17" s="1">
        <f>IFERROR(ROUND(C17/D17,0),"")</f>
        <v/>
      </c>
      <c r="F17" s="2">
        <f>IF(D17="","",D17*$B$244)</f>
        <v/>
      </c>
      <c r="G17" s="2">
        <f>IF(F17="","",ROUND(F17*$B$246,0))</f>
        <v/>
      </c>
      <c r="H17" s="3">
        <f>IF(G17="","",ROUND(G17*10/1000,0))</f>
        <v/>
      </c>
      <c r="I17" s="3">
        <f>IF(G17="","",ROUND(G17*15/1000,0))</f>
        <v/>
      </c>
      <c r="J17" s="3">
        <f>IF(G17="","",ROUND(G17*20/1000,0))</f>
        <v/>
      </c>
      <c r="K17" s="2">
        <f>IF(F17="","",ROUND(F17*0.10,0))</f>
        <v/>
      </c>
      <c r="L17" s="3">
        <f>IF(K17="","",ROUND(K17*5/1000,0))</f>
        <v/>
      </c>
      <c r="M17" s="2">
        <f>IF(F17="","",ROUND(F17*$B$247,0))</f>
        <v/>
      </c>
      <c r="N17" s="1">
        <f>IF(M17="","",ROUND(M17*$B$248,0))</f>
        <v/>
      </c>
      <c r="O17" s="1">
        <f>IF(N17="","",ROUND(N17*$B$249,0))</f>
        <v/>
      </c>
      <c r="P17" s="3">
        <f>IF(O17="","",ROUND(O17*7.30,0))</f>
        <v/>
      </c>
      <c r="Q17" s="3">
        <f>IF(L17="","",L17+P17)</f>
        <v/>
      </c>
    </row>
    <row r="18">
      <c r="A18" s="1" t="inlineStr">
        <is>
          <t>Tier 3</t>
        </is>
      </c>
      <c r="B18" s="1" t="inlineStr">
        <is>
          <t>RO</t>
        </is>
      </c>
      <c r="C18" s="2" t="n">
        <v>1527386</v>
      </c>
      <c r="D18" s="2" t="n">
        <v>46186</v>
      </c>
      <c r="E18" s="1">
        <f>IFERROR(ROUND(C18/D18,0),"")</f>
        <v/>
      </c>
      <c r="F18" s="2">
        <f>IF(D18="","",D18*$B$244)</f>
        <v/>
      </c>
      <c r="G18" s="2">
        <f>IF(F18="","",ROUND(F18*$B$246,0))</f>
        <v/>
      </c>
      <c r="H18" s="3">
        <f>IF(G18="","",ROUND(G18*10/1000,0))</f>
        <v/>
      </c>
      <c r="I18" s="3">
        <f>IF(G18="","",ROUND(G18*15/1000,0))</f>
        <v/>
      </c>
      <c r="J18" s="3">
        <f>IF(G18="","",ROUND(G18*20/1000,0))</f>
        <v/>
      </c>
      <c r="K18" s="2">
        <f>IF(F18="","",ROUND(F18*0.10,0))</f>
        <v/>
      </c>
      <c r="L18" s="3">
        <f>IF(K18="","",ROUND(K18*5/1000,0))</f>
        <v/>
      </c>
      <c r="M18" s="2">
        <f>IF(F18="","",ROUND(F18*$B$247,0))</f>
        <v/>
      </c>
      <c r="N18" s="1">
        <f>IF(M18="","",ROUND(M18*$B$248,0))</f>
        <v/>
      </c>
      <c r="O18" s="1">
        <f>IF(N18="","",ROUND(N18*$B$249,0))</f>
        <v/>
      </c>
      <c r="P18" s="3">
        <f>IF(O18="","",ROUND(O18*7.30,0))</f>
        <v/>
      </c>
      <c r="Q18" s="3">
        <f>IF(L18="","",L18+P18)</f>
        <v/>
      </c>
    </row>
    <row r="19">
      <c r="A19" s="1" t="inlineStr">
        <is>
          <t>Tier 3</t>
        </is>
      </c>
      <c r="B19" s="1" t="inlineStr">
        <is>
          <t>BY</t>
        </is>
      </c>
      <c r="C19" s="2" t="n">
        <v>1341133</v>
      </c>
      <c r="D19" s="2" t="n">
        <v>33247</v>
      </c>
      <c r="E19" s="1">
        <f>IFERROR(ROUND(C19/D19,0),"")</f>
        <v/>
      </c>
      <c r="F19" s="2">
        <f>IF(D19="","",D19*$B$244)</f>
        <v/>
      </c>
      <c r="G19" s="2">
        <f>IF(F19="","",ROUND(F19*$B$246,0))</f>
        <v/>
      </c>
      <c r="H19" s="3">
        <f>IF(G19="","",ROUND(G19*10/1000,0))</f>
        <v/>
      </c>
      <c r="I19" s="3">
        <f>IF(G19="","",ROUND(G19*15/1000,0))</f>
        <v/>
      </c>
      <c r="J19" s="3">
        <f>IF(G19="","",ROUND(G19*20/1000,0))</f>
        <v/>
      </c>
      <c r="K19" s="2">
        <f>IF(F19="","",ROUND(F19*0.10,0))</f>
        <v/>
      </c>
      <c r="L19" s="3">
        <f>IF(K19="","",ROUND(K19*5/1000,0))</f>
        <v/>
      </c>
      <c r="M19" s="2">
        <f>IF(F19="","",ROUND(F19*$B$247,0))</f>
        <v/>
      </c>
      <c r="N19" s="1">
        <f>IF(M19="","",ROUND(M19*$B$248,0))</f>
        <v/>
      </c>
      <c r="O19" s="1">
        <f>IF(N19="","",ROUND(N19*$B$249,0))</f>
        <v/>
      </c>
      <c r="P19" s="3">
        <f>IF(O19="","",ROUND(O19*7.30,0))</f>
        <v/>
      </c>
      <c r="Q19" s="3">
        <f>IF(L19="","",L19+P19)</f>
        <v/>
      </c>
    </row>
    <row r="20">
      <c r="A20" s="1" t="inlineStr">
        <is>
          <t>Tier 3</t>
        </is>
      </c>
      <c r="B20" s="1" t="inlineStr">
        <is>
          <t>XK</t>
        </is>
      </c>
      <c r="C20" s="2" t="n">
        <v>1478345</v>
      </c>
      <c r="D20" s="2" t="n">
        <v>31054</v>
      </c>
      <c r="E20" s="1">
        <f>IFERROR(ROUND(C20/D20,0),"")</f>
        <v/>
      </c>
      <c r="F20" s="2">
        <f>IF(D20="","",D20*$B$244)</f>
        <v/>
      </c>
      <c r="G20" s="2">
        <f>IF(F20="","",ROUND(F20*$B$246,0))</f>
        <v/>
      </c>
      <c r="H20" s="3">
        <f>IF(G20="","",ROUND(G20*10/1000,0))</f>
        <v/>
      </c>
      <c r="I20" s="3">
        <f>IF(G20="","",ROUND(G20*15/1000,0))</f>
        <v/>
      </c>
      <c r="J20" s="3">
        <f>IF(G20="","",ROUND(G20*20/1000,0))</f>
        <v/>
      </c>
      <c r="K20" s="2">
        <f>IF(F20="","",ROUND(F20*0.10,0))</f>
        <v/>
      </c>
      <c r="L20" s="3">
        <f>IF(K20="","",ROUND(K20*5/1000,0))</f>
        <v/>
      </c>
      <c r="M20" s="2">
        <f>IF(F20="","",ROUND(F20*$B$247,0))</f>
        <v/>
      </c>
      <c r="N20" s="1">
        <f>IF(M20="","",ROUND(M20*$B$248,0))</f>
        <v/>
      </c>
      <c r="O20" s="1">
        <f>IF(N20="","",ROUND(N20*$B$249,0))</f>
        <v/>
      </c>
      <c r="P20" s="3">
        <f>IF(O20="","",ROUND(O20*7.30,0))</f>
        <v/>
      </c>
      <c r="Q20" s="3">
        <f>IF(L20="","",L20+P20)</f>
        <v/>
      </c>
    </row>
    <row r="21">
      <c r="A21" s="1" t="inlineStr">
        <is>
          <t>Tier 3</t>
        </is>
      </c>
      <c r="B21" s="1" t="inlineStr">
        <is>
          <t>UZ</t>
        </is>
      </c>
      <c r="C21" s="2" t="n">
        <v>1207181</v>
      </c>
      <c r="D21" s="2" t="n">
        <v>30143</v>
      </c>
      <c r="E21" s="1">
        <f>IFERROR(ROUND(C21/D21,0),"")</f>
        <v/>
      </c>
      <c r="F21" s="2">
        <f>IF(D21="","",D21*$B$244)</f>
        <v/>
      </c>
      <c r="G21" s="2">
        <f>IF(F21="","",ROUND(F21*$B$246,0))</f>
        <v/>
      </c>
      <c r="H21" s="3">
        <f>IF(G21="","",ROUND(G21*10/1000,0))</f>
        <v/>
      </c>
      <c r="I21" s="3">
        <f>IF(G21="","",ROUND(G21*15/1000,0))</f>
        <v/>
      </c>
      <c r="J21" s="3">
        <f>IF(G21="","",ROUND(G21*20/1000,0))</f>
        <v/>
      </c>
      <c r="K21" s="2">
        <f>IF(F21="","",ROUND(F21*0.10,0))</f>
        <v/>
      </c>
      <c r="L21" s="3">
        <f>IF(K21="","",ROUND(K21*5/1000,0))</f>
        <v/>
      </c>
      <c r="M21" s="2">
        <f>IF(F21="","",ROUND(F21*$B$247,0))</f>
        <v/>
      </c>
      <c r="N21" s="1">
        <f>IF(M21="","",ROUND(M21*$B$248,0))</f>
        <v/>
      </c>
      <c r="O21" s="1">
        <f>IF(N21="","",ROUND(N21*$B$249,0))</f>
        <v/>
      </c>
      <c r="P21" s="3">
        <f>IF(O21="","",ROUND(O21*7.30,0))</f>
        <v/>
      </c>
      <c r="Q21" s="3">
        <f>IF(L21="","",L21+P21)</f>
        <v/>
      </c>
    </row>
    <row r="22">
      <c r="A22" s="1" t="inlineStr">
        <is>
          <t>Tier 3</t>
        </is>
      </c>
      <c r="B22" s="1" t="inlineStr">
        <is>
          <t>BR</t>
        </is>
      </c>
      <c r="C22" s="2" t="n">
        <v>574291</v>
      </c>
      <c r="D22" s="2" t="n">
        <v>25976</v>
      </c>
      <c r="E22" s="1">
        <f>IFERROR(ROUND(C22/D22,0),"")</f>
        <v/>
      </c>
      <c r="F22" s="2">
        <f>IF(D22="","",D22*$B$244)</f>
        <v/>
      </c>
      <c r="G22" s="2">
        <f>IF(F22="","",ROUND(F22*$B$246,0))</f>
        <v/>
      </c>
      <c r="H22" s="3">
        <f>IF(G22="","",ROUND(G22*10/1000,0))</f>
        <v/>
      </c>
      <c r="I22" s="3">
        <f>IF(G22="","",ROUND(G22*15/1000,0))</f>
        <v/>
      </c>
      <c r="J22" s="3">
        <f>IF(G22="","",ROUND(G22*20/1000,0))</f>
        <v/>
      </c>
      <c r="K22" s="2">
        <f>IF(F22="","",ROUND(F22*0.10,0))</f>
        <v/>
      </c>
      <c r="L22" s="3">
        <f>IF(K22="","",ROUND(K22*5/1000,0))</f>
        <v/>
      </c>
      <c r="M22" s="2">
        <f>IF(F22="","",ROUND(F22*$B$247,0))</f>
        <v/>
      </c>
      <c r="N22" s="1">
        <f>IF(M22="","",ROUND(M22*$B$248,0))</f>
        <v/>
      </c>
      <c r="O22" s="1">
        <f>IF(N22="","",ROUND(N22*$B$249,0))</f>
        <v/>
      </c>
      <c r="P22" s="3">
        <f>IF(O22="","",ROUND(O22*7.30,0))</f>
        <v/>
      </c>
      <c r="Q22" s="3">
        <f>IF(L22="","",L22+P22)</f>
        <v/>
      </c>
    </row>
    <row r="23">
      <c r="A23" s="1" t="inlineStr">
        <is>
          <t>Tier 3</t>
        </is>
      </c>
      <c r="B23" s="1" t="inlineStr">
        <is>
          <t>SE</t>
        </is>
      </c>
      <c r="C23" s="2" t="n">
        <v>648835</v>
      </c>
      <c r="D23" s="2" t="n">
        <v>24758</v>
      </c>
      <c r="E23" s="1">
        <f>IFERROR(ROUND(C23/D23,0),"")</f>
        <v/>
      </c>
      <c r="F23" s="2">
        <f>IF(D23="","",D23*$B$244)</f>
        <v/>
      </c>
      <c r="G23" s="2">
        <f>IF(F23="","",ROUND(F23*$B$246,0))</f>
        <v/>
      </c>
      <c r="H23" s="3">
        <f>IF(G23="","",ROUND(G23*10/1000,0))</f>
        <v/>
      </c>
      <c r="I23" s="3">
        <f>IF(G23="","",ROUND(G23*15/1000,0))</f>
        <v/>
      </c>
      <c r="J23" s="3">
        <f>IF(G23="","",ROUND(G23*20/1000,0))</f>
        <v/>
      </c>
      <c r="K23" s="2">
        <f>IF(F23="","",ROUND(F23*0.10,0))</f>
        <v/>
      </c>
      <c r="L23" s="3">
        <f>IF(K23="","",ROUND(K23*5/1000,0))</f>
        <v/>
      </c>
      <c r="M23" s="2">
        <f>IF(F23="","",ROUND(F23*$B$247,0))</f>
        <v/>
      </c>
      <c r="N23" s="1">
        <f>IF(M23="","",ROUND(M23*$B$248,0))</f>
        <v/>
      </c>
      <c r="O23" s="1">
        <f>IF(N23="","",ROUND(N23*$B$249,0))</f>
        <v/>
      </c>
      <c r="P23" s="3">
        <f>IF(O23="","",ROUND(O23*7.30,0))</f>
        <v/>
      </c>
      <c r="Q23" s="3">
        <f>IF(L23="","",L23+P23)</f>
        <v/>
      </c>
    </row>
    <row r="24">
      <c r="A24" s="1" t="inlineStr">
        <is>
          <t>Tier 3</t>
        </is>
      </c>
      <c r="B24" s="1" t="inlineStr">
        <is>
          <t>MN</t>
        </is>
      </c>
      <c r="C24" s="2" t="n">
        <v>782069</v>
      </c>
      <c r="D24" s="2" t="n">
        <v>21955</v>
      </c>
      <c r="E24" s="1">
        <f>IFERROR(ROUND(C24/D24,0),"")</f>
        <v/>
      </c>
      <c r="F24" s="2">
        <f>IF(D24="","",D24*$B$244)</f>
        <v/>
      </c>
      <c r="G24" s="2">
        <f>IF(F24="","",ROUND(F24*$B$246,0))</f>
        <v/>
      </c>
      <c r="H24" s="3">
        <f>IF(G24="","",ROUND(G24*10/1000,0))</f>
        <v/>
      </c>
      <c r="I24" s="3">
        <f>IF(G24="","",ROUND(G24*15/1000,0))</f>
        <v/>
      </c>
      <c r="J24" s="3">
        <f>IF(G24="","",ROUND(G24*20/1000,0))</f>
        <v/>
      </c>
      <c r="K24" s="2">
        <f>IF(F24="","",ROUND(F24*0.10,0))</f>
        <v/>
      </c>
      <c r="L24" s="3">
        <f>IF(K24="","",ROUND(K24*5/1000,0))</f>
        <v/>
      </c>
      <c r="M24" s="2">
        <f>IF(F24="","",ROUND(F24*$B$247,0))</f>
        <v/>
      </c>
      <c r="N24" s="1">
        <f>IF(M24="","",ROUND(M24*$B$248,0))</f>
        <v/>
      </c>
      <c r="O24" s="1">
        <f>IF(N24="","",ROUND(N24*$B$249,0))</f>
        <v/>
      </c>
      <c r="P24" s="3">
        <f>IF(O24="","",ROUND(O24*7.30,0))</f>
        <v/>
      </c>
      <c r="Q24" s="3">
        <f>IF(L24="","",L24+P24)</f>
        <v/>
      </c>
    </row>
    <row r="25">
      <c r="A25" s="1" t="inlineStr">
        <is>
          <t>Tier 3</t>
        </is>
      </c>
      <c r="B25" s="1" t="inlineStr">
        <is>
          <t>AR</t>
        </is>
      </c>
      <c r="C25" s="2" t="n">
        <v>483538</v>
      </c>
      <c r="D25" s="2" t="n">
        <v>18613</v>
      </c>
      <c r="E25" s="1">
        <f>IFERROR(ROUND(C25/D25,0),"")</f>
        <v/>
      </c>
      <c r="F25" s="2">
        <f>IF(D25="","",D25*$B$244)</f>
        <v/>
      </c>
      <c r="G25" s="2">
        <f>IF(F25="","",ROUND(F25*$B$246,0))</f>
        <v/>
      </c>
      <c r="H25" s="3">
        <f>IF(G25="","",ROUND(G25*10/1000,0))</f>
        <v/>
      </c>
      <c r="I25" s="3">
        <f>IF(G25="","",ROUND(G25*15/1000,0))</f>
        <v/>
      </c>
      <c r="J25" s="3">
        <f>IF(G25="","",ROUND(G25*20/1000,0))</f>
        <v/>
      </c>
      <c r="K25" s="2">
        <f>IF(F25="","",ROUND(F25*0.10,0))</f>
        <v/>
      </c>
      <c r="L25" s="3">
        <f>IF(K25="","",ROUND(K25*5/1000,0))</f>
        <v/>
      </c>
      <c r="M25" s="2">
        <f>IF(F25="","",ROUND(F25*$B$247,0))</f>
        <v/>
      </c>
      <c r="N25" s="1">
        <f>IF(M25="","",ROUND(M25*$B$248,0))</f>
        <v/>
      </c>
      <c r="O25" s="1">
        <f>IF(N25="","",ROUND(N25*$B$249,0))</f>
        <v/>
      </c>
      <c r="P25" s="3">
        <f>IF(O25="","",ROUND(O25*7.30,0))</f>
        <v/>
      </c>
      <c r="Q25" s="3">
        <f>IF(L25="","",L25+P25)</f>
        <v/>
      </c>
    </row>
    <row r="26">
      <c r="A26" s="1" t="inlineStr">
        <is>
          <t>Tier 3</t>
        </is>
      </c>
      <c r="B26" s="1" t="inlineStr">
        <is>
          <t>CZ</t>
        </is>
      </c>
      <c r="C26" s="2" t="n">
        <v>378070</v>
      </c>
      <c r="D26" s="2" t="n">
        <v>15186</v>
      </c>
      <c r="E26" s="1">
        <f>IFERROR(ROUND(C26/D26,0),"")</f>
        <v/>
      </c>
      <c r="F26" s="2">
        <f>IF(D26="","",D26*$B$244)</f>
        <v/>
      </c>
      <c r="G26" s="2">
        <f>IF(F26="","",ROUND(F26*$B$246,0))</f>
        <v/>
      </c>
      <c r="H26" s="3">
        <f>IF(G26="","",ROUND(G26*10/1000,0))</f>
        <v/>
      </c>
      <c r="I26" s="3">
        <f>IF(G26="","",ROUND(G26*15/1000,0))</f>
        <v/>
      </c>
      <c r="J26" s="3">
        <f>IF(G26="","",ROUND(G26*20/1000,0))</f>
        <v/>
      </c>
      <c r="K26" s="2">
        <f>IF(F26="","",ROUND(F26*0.10,0))</f>
        <v/>
      </c>
      <c r="L26" s="3">
        <f>IF(K26="","",ROUND(K26*5/1000,0))</f>
        <v/>
      </c>
      <c r="M26" s="2">
        <f>IF(F26="","",ROUND(F26*$B$247,0))</f>
        <v/>
      </c>
      <c r="N26" s="1">
        <f>IF(M26="","",ROUND(M26*$B$248,0))</f>
        <v/>
      </c>
      <c r="O26" s="1">
        <f>IF(N26="","",ROUND(N26*$B$249,0))</f>
        <v/>
      </c>
      <c r="P26" s="3">
        <f>IF(O26="","",ROUND(O26*7.30,0))</f>
        <v/>
      </c>
      <c r="Q26" s="3">
        <f>IF(L26="","",L26+P26)</f>
        <v/>
      </c>
    </row>
    <row r="27">
      <c r="A27" s="1" t="inlineStr">
        <is>
          <t>Tier 3</t>
        </is>
      </c>
      <c r="B27" s="1" t="inlineStr">
        <is>
          <t>RS</t>
        </is>
      </c>
      <c r="C27" s="2" t="n">
        <v>488328</v>
      </c>
      <c r="D27" s="2" t="n">
        <v>13145</v>
      </c>
      <c r="E27" s="1">
        <f>IFERROR(ROUND(C27/D27,0),"")</f>
        <v/>
      </c>
      <c r="F27" s="2">
        <f>IF(D27="","",D27*$B$244)</f>
        <v/>
      </c>
      <c r="G27" s="2">
        <f>IF(F27="","",ROUND(F27*$B$246,0))</f>
        <v/>
      </c>
      <c r="H27" s="3">
        <f>IF(G27="","",ROUND(G27*10/1000,0))</f>
        <v/>
      </c>
      <c r="I27" s="3">
        <f>IF(G27="","",ROUND(G27*15/1000,0))</f>
        <v/>
      </c>
      <c r="J27" s="3">
        <f>IF(G27="","",ROUND(G27*20/1000,0))</f>
        <v/>
      </c>
      <c r="K27" s="2">
        <f>IF(F27="","",ROUND(F27*0.10,0))</f>
        <v/>
      </c>
      <c r="L27" s="3">
        <f>IF(K27="","",ROUND(K27*5/1000,0))</f>
        <v/>
      </c>
      <c r="M27" s="2">
        <f>IF(F27="","",ROUND(F27*$B$247,0))</f>
        <v/>
      </c>
      <c r="N27" s="1">
        <f>IF(M27="","",ROUND(M27*$B$248,0))</f>
        <v/>
      </c>
      <c r="O27" s="1">
        <f>IF(N27="","",ROUND(N27*$B$249,0))</f>
        <v/>
      </c>
      <c r="P27" s="3">
        <f>IF(O27="","",ROUND(O27*7.30,0))</f>
        <v/>
      </c>
      <c r="Q27" s="3">
        <f>IF(L27="","",L27+P27)</f>
        <v/>
      </c>
    </row>
    <row r="28">
      <c r="A28" s="1" t="inlineStr">
        <is>
          <t>Tier 3</t>
        </is>
      </c>
      <c r="B28" s="1" t="inlineStr">
        <is>
          <t>LT</t>
        </is>
      </c>
      <c r="C28" s="2" t="n">
        <v>358720</v>
      </c>
      <c r="D28" s="2" t="n">
        <v>13037</v>
      </c>
      <c r="E28" s="1">
        <f>IFERROR(ROUND(C28/D28,0),"")</f>
        <v/>
      </c>
      <c r="F28" s="2">
        <f>IF(D28="","",D28*$B$244)</f>
        <v/>
      </c>
      <c r="G28" s="2">
        <f>IF(F28="","",ROUND(F28*$B$246,0))</f>
        <v/>
      </c>
      <c r="H28" s="3">
        <f>IF(G28="","",ROUND(G28*10/1000,0))</f>
        <v/>
      </c>
      <c r="I28" s="3">
        <f>IF(G28="","",ROUND(G28*15/1000,0))</f>
        <v/>
      </c>
      <c r="J28" s="3">
        <f>IF(G28="","",ROUND(G28*20/1000,0))</f>
        <v/>
      </c>
      <c r="K28" s="2">
        <f>IF(F28="","",ROUND(F28*0.10,0))</f>
        <v/>
      </c>
      <c r="L28" s="3">
        <f>IF(K28="","",ROUND(K28*5/1000,0))</f>
        <v/>
      </c>
      <c r="M28" s="2">
        <f>IF(F28="","",ROUND(F28*$B$247,0))</f>
        <v/>
      </c>
      <c r="N28" s="1">
        <f>IF(M28="","",ROUND(M28*$B$248,0))</f>
        <v/>
      </c>
      <c r="O28" s="1">
        <f>IF(N28="","",ROUND(N28*$B$249,0))</f>
        <v/>
      </c>
      <c r="P28" s="3">
        <f>IF(O28="","",ROUND(O28*7.30,0))</f>
        <v/>
      </c>
      <c r="Q28" s="3">
        <f>IF(L28="","",L28+P28)</f>
        <v/>
      </c>
    </row>
    <row r="29">
      <c r="A29" s="1" t="inlineStr">
        <is>
          <t>Tier 3</t>
        </is>
      </c>
      <c r="B29" s="1" t="inlineStr">
        <is>
          <t>LV</t>
        </is>
      </c>
      <c r="C29" s="2" t="n">
        <v>218270</v>
      </c>
      <c r="D29" s="2" t="n">
        <v>10965</v>
      </c>
      <c r="E29" s="1">
        <f>IFERROR(ROUND(C29/D29,0),"")</f>
        <v/>
      </c>
      <c r="F29" s="2">
        <f>IF(D29="","",D29*$B$244)</f>
        <v/>
      </c>
      <c r="G29" s="2">
        <f>IF(F29="","",ROUND(F29*$B$246,0))</f>
        <v/>
      </c>
      <c r="H29" s="3">
        <f>IF(G29="","",ROUND(G29*10/1000,0))</f>
        <v/>
      </c>
      <c r="I29" s="3">
        <f>IF(G29="","",ROUND(G29*15/1000,0))</f>
        <v/>
      </c>
      <c r="J29" s="3">
        <f>IF(G29="","",ROUND(G29*20/1000,0))</f>
        <v/>
      </c>
      <c r="K29" s="2">
        <f>IF(F29="","",ROUND(F29*0.10,0))</f>
        <v/>
      </c>
      <c r="L29" s="3">
        <f>IF(K29="","",ROUND(K29*5/1000,0))</f>
        <v/>
      </c>
      <c r="M29" s="2">
        <f>IF(F29="","",ROUND(F29*$B$247,0))</f>
        <v/>
      </c>
      <c r="N29" s="1">
        <f>IF(M29="","",ROUND(M29*$B$248,0))</f>
        <v/>
      </c>
      <c r="O29" s="1">
        <f>IF(N29="","",ROUND(N29*$B$249,0))</f>
        <v/>
      </c>
      <c r="P29" s="3">
        <f>IF(O29="","",ROUND(O29*7.30,0))</f>
        <v/>
      </c>
      <c r="Q29" s="3">
        <f>IF(L29="","",L29+P29)</f>
        <v/>
      </c>
    </row>
    <row r="30">
      <c r="A30" s="1" t="inlineStr">
        <is>
          <t>Tier 3</t>
        </is>
      </c>
      <c r="B30" s="1" t="inlineStr">
        <is>
          <t>MK</t>
        </is>
      </c>
      <c r="C30" s="2" t="n">
        <v>482696</v>
      </c>
      <c r="D30" s="2" t="n">
        <v>10662</v>
      </c>
      <c r="E30" s="1">
        <f>IFERROR(ROUND(C30/D30,0),"")</f>
        <v/>
      </c>
      <c r="F30" s="2">
        <f>IF(D30="","",D30*$B$244)</f>
        <v/>
      </c>
      <c r="G30" s="2">
        <f>IF(F30="","",ROUND(F30*$B$246,0))</f>
        <v/>
      </c>
      <c r="H30" s="3">
        <f>IF(G30="","",ROUND(G30*10/1000,0))</f>
        <v/>
      </c>
      <c r="I30" s="3">
        <f>IF(G30="","",ROUND(G30*15/1000,0))</f>
        <v/>
      </c>
      <c r="J30" s="3">
        <f>IF(G30="","",ROUND(G30*20/1000,0))</f>
        <v/>
      </c>
      <c r="K30" s="2">
        <f>IF(F30="","",ROUND(F30*0.10,0))</f>
        <v/>
      </c>
      <c r="L30" s="3">
        <f>IF(K30="","",ROUND(K30*5/1000,0))</f>
        <v/>
      </c>
      <c r="M30" s="2">
        <f>IF(F30="","",ROUND(F30*$B$247,0))</f>
        <v/>
      </c>
      <c r="N30" s="1">
        <f>IF(M30="","",ROUND(M30*$B$248,0))</f>
        <v/>
      </c>
      <c r="O30" s="1">
        <f>IF(N30="","",ROUND(N30*$B$249,0))</f>
        <v/>
      </c>
      <c r="P30" s="3">
        <f>IF(O30="","",ROUND(O30*7.30,0))</f>
        <v/>
      </c>
      <c r="Q30" s="3">
        <f>IF(L30="","",L30+P30)</f>
        <v/>
      </c>
    </row>
    <row r="31">
      <c r="A31" s="1" t="inlineStr">
        <is>
          <t>Tier 3</t>
        </is>
      </c>
      <c r="B31" s="1" t="inlineStr">
        <is>
          <t>NO</t>
        </is>
      </c>
      <c r="C31" s="2" t="n">
        <v>203565</v>
      </c>
      <c r="D31" s="2" t="n">
        <v>9411</v>
      </c>
      <c r="E31" s="1">
        <f>IFERROR(ROUND(C31/D31,0),"")</f>
        <v/>
      </c>
      <c r="F31" s="2">
        <f>IF(D31="","",D31*$B$244)</f>
        <v/>
      </c>
      <c r="G31" s="2">
        <f>IF(F31="","",ROUND(F31*$B$246,0))</f>
        <v/>
      </c>
      <c r="H31" s="3">
        <f>IF(G31="","",ROUND(G31*10/1000,0))</f>
        <v/>
      </c>
      <c r="I31" s="3">
        <f>IF(G31="","",ROUND(G31*15/1000,0))</f>
        <v/>
      </c>
      <c r="J31" s="3">
        <f>IF(G31="","",ROUND(G31*20/1000,0))</f>
        <v/>
      </c>
      <c r="K31" s="2">
        <f>IF(F31="","",ROUND(F31*0.10,0))</f>
        <v/>
      </c>
      <c r="L31" s="3">
        <f>IF(K31="","",ROUND(K31*5/1000,0))</f>
        <v/>
      </c>
      <c r="M31" s="2">
        <f>IF(F31="","",ROUND(F31*$B$247,0))</f>
        <v/>
      </c>
      <c r="N31" s="1">
        <f>IF(M31="","",ROUND(M31*$B$248,0))</f>
        <v/>
      </c>
      <c r="O31" s="1">
        <f>IF(N31="","",ROUND(N31*$B$249,0))</f>
        <v/>
      </c>
      <c r="P31" s="3">
        <f>IF(O31="","",ROUND(O31*7.30,0))</f>
        <v/>
      </c>
      <c r="Q31" s="3">
        <f>IF(L31="","",L31+P31)</f>
        <v/>
      </c>
    </row>
    <row r="32">
      <c r="A32" s="1" t="inlineStr">
        <is>
          <t>Tier 3</t>
        </is>
      </c>
      <c r="B32" s="1" t="inlineStr">
        <is>
          <t>HU</t>
        </is>
      </c>
      <c r="C32" s="2" t="n">
        <v>207670</v>
      </c>
      <c r="D32" s="2" t="n">
        <v>9060</v>
      </c>
      <c r="E32" s="1">
        <f>IFERROR(ROUND(C32/D32,0),"")</f>
        <v/>
      </c>
      <c r="F32" s="2">
        <f>IF(D32="","",D32*$B$244)</f>
        <v/>
      </c>
      <c r="G32" s="2">
        <f>IF(F32="","",ROUND(F32*$B$246,0))</f>
        <v/>
      </c>
      <c r="H32" s="3">
        <f>IF(G32="","",ROUND(G32*10/1000,0))</f>
        <v/>
      </c>
      <c r="I32" s="3">
        <f>IF(G32="","",ROUND(G32*15/1000,0))</f>
        <v/>
      </c>
      <c r="J32" s="3">
        <f>IF(G32="","",ROUND(G32*20/1000,0))</f>
        <v/>
      </c>
      <c r="K32" s="2">
        <f>IF(F32="","",ROUND(F32*0.10,0))</f>
        <v/>
      </c>
      <c r="L32" s="3">
        <f>IF(K32="","",ROUND(K32*5/1000,0))</f>
        <v/>
      </c>
      <c r="M32" s="2">
        <f>IF(F32="","",ROUND(F32*$B$247,0))</f>
        <v/>
      </c>
      <c r="N32" s="1">
        <f>IF(M32="","",ROUND(M32*$B$248,0))</f>
        <v/>
      </c>
      <c r="O32" s="1">
        <f>IF(N32="","",ROUND(N32*$B$249,0))</f>
        <v/>
      </c>
      <c r="P32" s="3">
        <f>IF(O32="","",ROUND(O32*7.30,0))</f>
        <v/>
      </c>
      <c r="Q32" s="3">
        <f>IF(L32="","",L32+P32)</f>
        <v/>
      </c>
    </row>
    <row r="33">
      <c r="A33" s="1" t="inlineStr">
        <is>
          <t>Tier 3</t>
        </is>
      </c>
      <c r="B33" s="1" t="inlineStr">
        <is>
          <t>SK</t>
        </is>
      </c>
      <c r="C33" s="2" t="n">
        <v>221547</v>
      </c>
      <c r="D33" s="2" t="n">
        <v>8549</v>
      </c>
      <c r="E33" s="1">
        <f>IFERROR(ROUND(C33/D33,0),"")</f>
        <v/>
      </c>
      <c r="F33" s="2">
        <f>IF(D33="","",D33*$B$244)</f>
        <v/>
      </c>
      <c r="G33" s="2">
        <f>IF(F33="","",ROUND(F33*$B$246,0))</f>
        <v/>
      </c>
      <c r="H33" s="3">
        <f>IF(G33="","",ROUND(G33*10/1000,0))</f>
        <v/>
      </c>
      <c r="I33" s="3">
        <f>IF(G33="","",ROUND(G33*15/1000,0))</f>
        <v/>
      </c>
      <c r="J33" s="3">
        <f>IF(G33="","",ROUND(G33*20/1000,0))</f>
        <v/>
      </c>
      <c r="K33" s="2">
        <f>IF(F33="","",ROUND(F33*0.10,0))</f>
        <v/>
      </c>
      <c r="L33" s="3">
        <f>IF(K33="","",ROUND(K33*5/1000,0))</f>
        <v/>
      </c>
      <c r="M33" s="2">
        <f>IF(F33="","",ROUND(F33*$B$247,0))</f>
        <v/>
      </c>
      <c r="N33" s="1">
        <f>IF(M33="","",ROUND(M33*$B$248,0))</f>
        <v/>
      </c>
      <c r="O33" s="1">
        <f>IF(N33="","",ROUND(N33*$B$249,0))</f>
        <v/>
      </c>
      <c r="P33" s="3">
        <f>IF(O33="","",ROUND(O33*7.30,0))</f>
        <v/>
      </c>
      <c r="Q33" s="3">
        <f>IF(L33="","",L33+P33)</f>
        <v/>
      </c>
    </row>
    <row r="34">
      <c r="A34" s="1" t="inlineStr">
        <is>
          <t>Tier 3</t>
        </is>
      </c>
      <c r="B34" s="1" t="inlineStr">
        <is>
          <t>BG</t>
        </is>
      </c>
      <c r="C34" s="2" t="n">
        <v>249051</v>
      </c>
      <c r="D34" s="2" t="n">
        <v>8112</v>
      </c>
      <c r="E34" s="1">
        <f>IFERROR(ROUND(C34/D34,0),"")</f>
        <v/>
      </c>
      <c r="F34" s="2">
        <f>IF(D34="","",D34*$B$244)</f>
        <v/>
      </c>
      <c r="G34" s="2">
        <f>IF(F34="","",ROUND(F34*$B$246,0))</f>
        <v/>
      </c>
      <c r="H34" s="3">
        <f>IF(G34="","",ROUND(G34*10/1000,0))</f>
        <v/>
      </c>
      <c r="I34" s="3">
        <f>IF(G34="","",ROUND(G34*15/1000,0))</f>
        <v/>
      </c>
      <c r="J34" s="3">
        <f>IF(G34="","",ROUND(G34*20/1000,0))</f>
        <v/>
      </c>
      <c r="K34" s="2">
        <f>IF(F34="","",ROUND(F34*0.10,0))</f>
        <v/>
      </c>
      <c r="L34" s="3">
        <f>IF(K34="","",ROUND(K34*5/1000,0))</f>
        <v/>
      </c>
      <c r="M34" s="2">
        <f>IF(F34="","",ROUND(F34*$B$247,0))</f>
        <v/>
      </c>
      <c r="N34" s="1">
        <f>IF(M34="","",ROUND(M34*$B$248,0))</f>
        <v/>
      </c>
      <c r="O34" s="1">
        <f>IF(N34="","",ROUND(N34*$B$249,0))</f>
        <v/>
      </c>
      <c r="P34" s="3">
        <f>IF(O34="","",ROUND(O34*7.30,0))</f>
        <v/>
      </c>
      <c r="Q34" s="3">
        <f>IF(L34="","",L34+P34)</f>
        <v/>
      </c>
    </row>
    <row r="35">
      <c r="A35" s="1" t="inlineStr">
        <is>
          <t>Tier 3</t>
        </is>
      </c>
      <c r="B35" s="1" t="inlineStr">
        <is>
          <t>KG</t>
        </is>
      </c>
      <c r="C35" s="2" t="n">
        <v>321537</v>
      </c>
      <c r="D35" s="2" t="n">
        <v>7799</v>
      </c>
      <c r="E35" s="1">
        <f>IFERROR(ROUND(C35/D35,0),"")</f>
        <v/>
      </c>
      <c r="F35" s="2">
        <f>IF(D35="","",D35*$B$244)</f>
        <v/>
      </c>
      <c r="G35" s="2">
        <f>IF(F35="","",ROUND(F35*$B$246,0))</f>
        <v/>
      </c>
      <c r="H35" s="3">
        <f>IF(G35="","",ROUND(G35*10/1000,0))</f>
        <v/>
      </c>
      <c r="I35" s="3">
        <f>IF(G35="","",ROUND(G35*15/1000,0))</f>
        <v/>
      </c>
      <c r="J35" s="3">
        <f>IF(G35="","",ROUND(G35*20/1000,0))</f>
        <v/>
      </c>
      <c r="K35" s="2">
        <f>IF(F35="","",ROUND(F35*0.10,0))</f>
        <v/>
      </c>
      <c r="L35" s="3">
        <f>IF(K35="","",ROUND(K35*5/1000,0))</f>
        <v/>
      </c>
      <c r="M35" s="2">
        <f>IF(F35="","",ROUND(F35*$B$247,0))</f>
        <v/>
      </c>
      <c r="N35" s="1">
        <f>IF(M35="","",ROUND(M35*$B$248,0))</f>
        <v/>
      </c>
      <c r="O35" s="1">
        <f>IF(N35="","",ROUND(N35*$B$249,0))</f>
        <v/>
      </c>
      <c r="P35" s="3">
        <f>IF(O35="","",ROUND(O35*7.30,0))</f>
        <v/>
      </c>
      <c r="Q35" s="3">
        <f>IF(L35="","",L35+P35)</f>
        <v/>
      </c>
    </row>
    <row r="36">
      <c r="A36" s="1" t="inlineStr">
        <is>
          <t>Tier 3</t>
        </is>
      </c>
      <c r="B36" s="1" t="inlineStr">
        <is>
          <t>GE</t>
        </is>
      </c>
      <c r="C36" s="2" t="n">
        <v>270447</v>
      </c>
      <c r="D36" s="2" t="n">
        <v>6836</v>
      </c>
      <c r="E36" s="1">
        <f>IFERROR(ROUND(C36/D36,0),"")</f>
        <v/>
      </c>
      <c r="F36" s="2">
        <f>IF(D36="","",D36*$B$244)</f>
        <v/>
      </c>
      <c r="G36" s="2">
        <f>IF(F36="","",ROUND(F36*$B$246,0))</f>
        <v/>
      </c>
      <c r="H36" s="3">
        <f>IF(G36="","",ROUND(G36*10/1000,0))</f>
        <v/>
      </c>
      <c r="I36" s="3">
        <f>IF(G36="","",ROUND(G36*15/1000,0))</f>
        <v/>
      </c>
      <c r="J36" s="3">
        <f>IF(G36="","",ROUND(G36*20/1000,0))</f>
        <v/>
      </c>
      <c r="K36" s="2">
        <f>IF(F36="","",ROUND(F36*0.10,0))</f>
        <v/>
      </c>
      <c r="L36" s="3">
        <f>IF(K36="","",ROUND(K36*5/1000,0))</f>
        <v/>
      </c>
      <c r="M36" s="2">
        <f>IF(F36="","",ROUND(F36*$B$247,0))</f>
        <v/>
      </c>
      <c r="N36" s="1">
        <f>IF(M36="","",ROUND(M36*$B$248,0))</f>
        <v/>
      </c>
      <c r="O36" s="1">
        <f>IF(N36="","",ROUND(N36*$B$249,0))</f>
        <v/>
      </c>
      <c r="P36" s="3">
        <f>IF(O36="","",ROUND(O36*7.30,0))</f>
        <v/>
      </c>
      <c r="Q36" s="3">
        <f>IF(L36="","",L36+P36)</f>
        <v/>
      </c>
    </row>
    <row r="37">
      <c r="A37" s="1" t="inlineStr">
        <is>
          <t>Tier 3</t>
        </is>
      </c>
      <c r="B37" s="1" t="inlineStr">
        <is>
          <t>EE</t>
        </is>
      </c>
      <c r="C37" s="2" t="n">
        <v>160300</v>
      </c>
      <c r="D37" s="2" t="n">
        <v>6362</v>
      </c>
      <c r="E37" s="1">
        <f>IFERROR(ROUND(C37/D37,0),"")</f>
        <v/>
      </c>
      <c r="F37" s="2">
        <f>IF(D37="","",D37*$B$244)</f>
        <v/>
      </c>
      <c r="G37" s="2">
        <f>IF(F37="","",ROUND(F37*$B$246,0))</f>
        <v/>
      </c>
      <c r="H37" s="3">
        <f>IF(G37="","",ROUND(G37*10/1000,0))</f>
        <v/>
      </c>
      <c r="I37" s="3">
        <f>IF(G37="","",ROUND(G37*15/1000,0))</f>
        <v/>
      </c>
      <c r="J37" s="3">
        <f>IF(G37="","",ROUND(G37*20/1000,0))</f>
        <v/>
      </c>
      <c r="K37" s="2">
        <f>IF(F37="","",ROUND(F37*0.10,0))</f>
        <v/>
      </c>
      <c r="L37" s="3">
        <f>IF(K37="","",ROUND(K37*5/1000,0))</f>
        <v/>
      </c>
      <c r="M37" s="2">
        <f>IF(F37="","",ROUND(F37*$B$247,0))</f>
        <v/>
      </c>
      <c r="N37" s="1">
        <f>IF(M37="","",ROUND(M37*$B$248,0))</f>
        <v/>
      </c>
      <c r="O37" s="1">
        <f>IF(N37="","",ROUND(N37*$B$249,0))</f>
        <v/>
      </c>
      <c r="P37" s="3">
        <f>IF(O37="","",ROUND(O37*7.30,0))</f>
        <v/>
      </c>
      <c r="Q37" s="3">
        <f>IF(L37="","",L37+P37)</f>
        <v/>
      </c>
    </row>
    <row r="38">
      <c r="A38" s="1" t="inlineStr">
        <is>
          <t>Tier 3</t>
        </is>
      </c>
      <c r="B38" s="1" t="inlineStr">
        <is>
          <t>AT</t>
        </is>
      </c>
      <c r="C38" s="2" t="n">
        <v>141694</v>
      </c>
      <c r="D38" s="2" t="n">
        <v>6287</v>
      </c>
      <c r="E38" s="1">
        <f>IFERROR(ROUND(C38/D38,0),"")</f>
        <v/>
      </c>
      <c r="F38" s="2">
        <f>IF(D38="","",D38*$B$244)</f>
        <v/>
      </c>
      <c r="G38" s="2">
        <f>IF(F38="","",ROUND(F38*$B$246,0))</f>
        <v/>
      </c>
      <c r="H38" s="3">
        <f>IF(G38="","",ROUND(G38*10/1000,0))</f>
        <v/>
      </c>
      <c r="I38" s="3">
        <f>IF(G38="","",ROUND(G38*15/1000,0))</f>
        <v/>
      </c>
      <c r="J38" s="3">
        <f>IF(G38="","",ROUND(G38*20/1000,0))</f>
        <v/>
      </c>
      <c r="K38" s="2">
        <f>IF(F38="","",ROUND(F38*0.10,0))</f>
        <v/>
      </c>
      <c r="L38" s="3">
        <f>IF(K38="","",ROUND(K38*5/1000,0))</f>
        <v/>
      </c>
      <c r="M38" s="2">
        <f>IF(F38="","",ROUND(F38*$B$247,0))</f>
        <v/>
      </c>
      <c r="N38" s="1">
        <f>IF(M38="","",ROUND(M38*$B$248,0))</f>
        <v/>
      </c>
      <c r="O38" s="1">
        <f>IF(N38="","",ROUND(N38*$B$249,0))</f>
        <v/>
      </c>
      <c r="P38" s="3">
        <f>IF(O38="","",ROUND(O38*7.30,0))</f>
        <v/>
      </c>
      <c r="Q38" s="3">
        <f>IF(L38="","",L38+P38)</f>
        <v/>
      </c>
    </row>
    <row r="39">
      <c r="A39" s="1" t="inlineStr">
        <is>
          <t>Tier 3</t>
        </is>
      </c>
      <c r="B39" s="1" t="inlineStr">
        <is>
          <t>HK</t>
        </is>
      </c>
      <c r="C39" s="2" t="n">
        <v>60897</v>
      </c>
      <c r="D39" s="2" t="n">
        <v>5601</v>
      </c>
      <c r="E39" s="1">
        <f>IFERROR(ROUND(C39/D39,0),"")</f>
        <v/>
      </c>
      <c r="F39" s="2">
        <f>IF(D39="","",D39*$B$244)</f>
        <v/>
      </c>
      <c r="G39" s="2">
        <f>IF(F39="","",ROUND(F39*$B$246,0))</f>
        <v/>
      </c>
      <c r="H39" s="3">
        <f>IF(G39="","",ROUND(G39*10/1000,0))</f>
        <v/>
      </c>
      <c r="I39" s="3">
        <f>IF(G39="","",ROUND(G39*15/1000,0))</f>
        <v/>
      </c>
      <c r="J39" s="3">
        <f>IF(G39="","",ROUND(G39*20/1000,0))</f>
        <v/>
      </c>
      <c r="K39" s="2">
        <f>IF(F39="","",ROUND(F39*0.10,0))</f>
        <v/>
      </c>
      <c r="L39" s="3">
        <f>IF(K39="","",ROUND(K39*5/1000,0))</f>
        <v/>
      </c>
      <c r="M39" s="2">
        <f>IF(F39="","",ROUND(F39*$B$247,0))</f>
        <v/>
      </c>
      <c r="N39" s="1">
        <f>IF(M39="","",ROUND(M39*$B$248,0))</f>
        <v/>
      </c>
      <c r="O39" s="1">
        <f>IF(N39="","",ROUND(N39*$B$249,0))</f>
        <v/>
      </c>
      <c r="P39" s="3">
        <f>IF(O39="","",ROUND(O39*7.30,0))</f>
        <v/>
      </c>
      <c r="Q39" s="3">
        <f>IF(L39="","",L39+P39)</f>
        <v/>
      </c>
    </row>
    <row r="40">
      <c r="A40" s="1" t="inlineStr">
        <is>
          <t>Tier 3</t>
        </is>
      </c>
      <c r="B40" s="1" t="inlineStr">
        <is>
          <t>BE</t>
        </is>
      </c>
      <c r="C40" s="2" t="n">
        <v>146190</v>
      </c>
      <c r="D40" s="2" t="n">
        <v>5587</v>
      </c>
      <c r="E40" s="1">
        <f>IFERROR(ROUND(C40/D40,0),"")</f>
        <v/>
      </c>
      <c r="F40" s="2">
        <f>IF(D40="","",D40*$B$244)</f>
        <v/>
      </c>
      <c r="G40" s="2">
        <f>IF(F40="","",ROUND(F40*$B$246,0))</f>
        <v/>
      </c>
      <c r="H40" s="3">
        <f>IF(G40="","",ROUND(G40*10/1000,0))</f>
        <v/>
      </c>
      <c r="I40" s="3">
        <f>IF(G40="","",ROUND(G40*15/1000,0))</f>
        <v/>
      </c>
      <c r="J40" s="3">
        <f>IF(G40="","",ROUND(G40*20/1000,0))</f>
        <v/>
      </c>
      <c r="K40" s="2">
        <f>IF(F40="","",ROUND(F40*0.10,0))</f>
        <v/>
      </c>
      <c r="L40" s="3">
        <f>IF(K40="","",ROUND(K40*5/1000,0))</f>
        <v/>
      </c>
      <c r="M40" s="2">
        <f>IF(F40="","",ROUND(F40*$B$247,0))</f>
        <v/>
      </c>
      <c r="N40" s="1">
        <f>IF(M40="","",ROUND(M40*$B$248,0))</f>
        <v/>
      </c>
      <c r="O40" s="1">
        <f>IF(N40="","",ROUND(N40*$B$249,0))</f>
        <v/>
      </c>
      <c r="P40" s="3">
        <f>IF(O40="","",ROUND(O40*7.30,0))</f>
        <v/>
      </c>
      <c r="Q40" s="3">
        <f>IF(L40="","",L40+P40)</f>
        <v/>
      </c>
    </row>
    <row r="41">
      <c r="A41" s="1" t="inlineStr">
        <is>
          <t>Tier 3</t>
        </is>
      </c>
      <c r="B41" s="1" t="inlineStr">
        <is>
          <t>VN</t>
        </is>
      </c>
      <c r="C41" s="2" t="n">
        <v>133446</v>
      </c>
      <c r="D41" s="2" t="n">
        <v>5532</v>
      </c>
      <c r="E41" s="1">
        <f>IFERROR(ROUND(C41/D41,0),"")</f>
        <v/>
      </c>
      <c r="F41" s="2">
        <f>IF(D41="","",D41*$B$244)</f>
        <v/>
      </c>
      <c r="G41" s="2">
        <f>IF(F41="","",ROUND(F41*$B$246,0))</f>
        <v/>
      </c>
      <c r="H41" s="3">
        <f>IF(G41="","",ROUND(G41*10/1000,0))</f>
        <v/>
      </c>
      <c r="I41" s="3">
        <f>IF(G41="","",ROUND(G41*15/1000,0))</f>
        <v/>
      </c>
      <c r="J41" s="3">
        <f>IF(G41="","",ROUND(G41*20/1000,0))</f>
        <v/>
      </c>
      <c r="K41" s="2">
        <f>IF(F41="","",ROUND(F41*0.10,0))</f>
        <v/>
      </c>
      <c r="L41" s="3">
        <f>IF(K41="","",ROUND(K41*5/1000,0))</f>
        <v/>
      </c>
      <c r="M41" s="2">
        <f>IF(F41="","",ROUND(F41*$B$247,0))</f>
        <v/>
      </c>
      <c r="N41" s="1">
        <f>IF(M41="","",ROUND(M41*$B$248,0))</f>
        <v/>
      </c>
      <c r="O41" s="1">
        <f>IF(N41="","",ROUND(N41*$B$249,0))</f>
        <v/>
      </c>
      <c r="P41" s="3">
        <f>IF(O41="","",ROUND(O41*7.30,0))</f>
        <v/>
      </c>
      <c r="Q41" s="3">
        <f>IF(L41="","",L41+P41)</f>
        <v/>
      </c>
    </row>
    <row r="42">
      <c r="A42" s="1" t="inlineStr">
        <is>
          <t>Tier 3</t>
        </is>
      </c>
      <c r="B42" s="1" t="inlineStr">
        <is>
          <t>MD</t>
        </is>
      </c>
      <c r="C42" s="2" t="n">
        <v>164337</v>
      </c>
      <c r="D42" s="2" t="n">
        <v>5307</v>
      </c>
      <c r="E42" s="1">
        <f>IFERROR(ROUND(C42/D42,0),"")</f>
        <v/>
      </c>
      <c r="F42" s="2">
        <f>IF(D42="","",D42*$B$244)</f>
        <v/>
      </c>
      <c r="G42" s="2">
        <f>IF(F42="","",ROUND(F42*$B$246,0))</f>
        <v/>
      </c>
      <c r="H42" s="3">
        <f>IF(G42="","",ROUND(G42*10/1000,0))</f>
        <v/>
      </c>
      <c r="I42" s="3">
        <f>IF(G42="","",ROUND(G42*15/1000,0))</f>
        <v/>
      </c>
      <c r="J42" s="3">
        <f>IF(G42="","",ROUND(G42*20/1000,0))</f>
        <v/>
      </c>
      <c r="K42" s="2">
        <f>IF(F42="","",ROUND(F42*0.10,0))</f>
        <v/>
      </c>
      <c r="L42" s="3">
        <f>IF(K42="","",ROUND(K42*5/1000,0))</f>
        <v/>
      </c>
      <c r="M42" s="2">
        <f>IF(F42="","",ROUND(F42*$B$247,0))</f>
        <v/>
      </c>
      <c r="N42" s="1">
        <f>IF(M42="","",ROUND(M42*$B$248,0))</f>
        <v/>
      </c>
      <c r="O42" s="1">
        <f>IF(N42="","",ROUND(N42*$B$249,0))</f>
        <v/>
      </c>
      <c r="P42" s="3">
        <f>IF(O42="","",ROUND(O42*7.30,0))</f>
        <v/>
      </c>
      <c r="Q42" s="3">
        <f>IF(L42="","",L42+P42)</f>
        <v/>
      </c>
    </row>
    <row r="43">
      <c r="A43" s="1" t="inlineStr">
        <is>
          <t>Tier 3</t>
        </is>
      </c>
      <c r="B43" s="1" t="inlineStr">
        <is>
          <t>CH</t>
        </is>
      </c>
      <c r="C43" s="2" t="n">
        <v>138644</v>
      </c>
      <c r="D43" s="2" t="n">
        <v>5134</v>
      </c>
      <c r="E43" s="1">
        <f>IFERROR(ROUND(C43/D43,0),"")</f>
        <v/>
      </c>
      <c r="F43" s="2">
        <f>IF(D43="","",D43*$B$244)</f>
        <v/>
      </c>
      <c r="G43" s="2">
        <f>IF(F43="","",ROUND(F43*$B$246,0))</f>
        <v/>
      </c>
      <c r="H43" s="3">
        <f>IF(G43="","",ROUND(G43*10/1000,0))</f>
        <v/>
      </c>
      <c r="I43" s="3">
        <f>IF(G43="","",ROUND(G43*15/1000,0))</f>
        <v/>
      </c>
      <c r="J43" s="3">
        <f>IF(G43="","",ROUND(G43*20/1000,0))</f>
        <v/>
      </c>
      <c r="K43" s="2">
        <f>IF(F43="","",ROUND(F43*0.10,0))</f>
        <v/>
      </c>
      <c r="L43" s="3">
        <f>IF(K43="","",ROUND(K43*5/1000,0))</f>
        <v/>
      </c>
      <c r="M43" s="2">
        <f>IF(F43="","",ROUND(F43*$B$247,0))</f>
        <v/>
      </c>
      <c r="N43" s="1">
        <f>IF(M43="","",ROUND(M43*$B$248,0))</f>
        <v/>
      </c>
      <c r="O43" s="1">
        <f>IF(N43="","",ROUND(N43*$B$249,0))</f>
        <v/>
      </c>
      <c r="P43" s="3">
        <f>IF(O43="","",ROUND(O43*7.30,0))</f>
        <v/>
      </c>
      <c r="Q43" s="3">
        <f>IF(L43="","",L43+P43)</f>
        <v/>
      </c>
    </row>
    <row r="44">
      <c r="A44" s="1" t="inlineStr">
        <is>
          <t>Tier 3</t>
        </is>
      </c>
      <c r="B44" s="1" t="inlineStr">
        <is>
          <t>AL</t>
        </is>
      </c>
      <c r="C44" s="2" t="n">
        <v>162284</v>
      </c>
      <c r="D44" s="2" t="n">
        <v>5056</v>
      </c>
      <c r="E44" s="1">
        <f>IFERROR(ROUND(C44/D44,0),"")</f>
        <v/>
      </c>
      <c r="F44" s="2">
        <f>IF(D44="","",D44*$B$244)</f>
        <v/>
      </c>
      <c r="G44" s="2">
        <f>IF(F44="","",ROUND(F44*$B$246,0))</f>
        <v/>
      </c>
      <c r="H44" s="3">
        <f>IF(G44="","",ROUND(G44*10/1000,0))</f>
        <v/>
      </c>
      <c r="I44" s="3">
        <f>IF(G44="","",ROUND(G44*15/1000,0))</f>
        <v/>
      </c>
      <c r="J44" s="3">
        <f>IF(G44="","",ROUND(G44*20/1000,0))</f>
        <v/>
      </c>
      <c r="K44" s="2">
        <f>IF(F44="","",ROUND(F44*0.10,0))</f>
        <v/>
      </c>
      <c r="L44" s="3">
        <f>IF(K44="","",ROUND(K44*5/1000,0))</f>
        <v/>
      </c>
      <c r="M44" s="2">
        <f>IF(F44="","",ROUND(F44*$B$247,0))</f>
        <v/>
      </c>
      <c r="N44" s="1">
        <f>IF(M44="","",ROUND(M44*$B$248,0))</f>
        <v/>
      </c>
      <c r="O44" s="1">
        <f>IF(N44="","",ROUND(N44*$B$249,0))</f>
        <v/>
      </c>
      <c r="P44" s="3">
        <f>IF(O44="","",ROUND(O44*7.30,0))</f>
        <v/>
      </c>
      <c r="Q44" s="3">
        <f>IF(L44="","",L44+P44)</f>
        <v/>
      </c>
    </row>
    <row r="45">
      <c r="A45" s="1" t="inlineStr">
        <is>
          <t>Tier 3</t>
        </is>
      </c>
      <c r="B45" s="1" t="inlineStr">
        <is>
          <t>SG</t>
        </is>
      </c>
      <c r="C45" s="2" t="n">
        <v>56707</v>
      </c>
      <c r="D45" s="2" t="n">
        <v>4554</v>
      </c>
      <c r="E45" s="1">
        <f>IFERROR(ROUND(C45/D45,0),"")</f>
        <v/>
      </c>
      <c r="F45" s="2">
        <f>IF(D45="","",D45*$B$244)</f>
        <v/>
      </c>
      <c r="G45" s="2">
        <f>IF(F45="","",ROUND(F45*$B$246,0))</f>
        <v/>
      </c>
      <c r="H45" s="3">
        <f>IF(G45="","",ROUND(G45*10/1000,0))</f>
        <v/>
      </c>
      <c r="I45" s="3">
        <f>IF(G45="","",ROUND(G45*15/1000,0))</f>
        <v/>
      </c>
      <c r="J45" s="3">
        <f>IF(G45="","",ROUND(G45*20/1000,0))</f>
        <v/>
      </c>
      <c r="K45" s="2">
        <f>IF(F45="","",ROUND(F45*0.10,0))</f>
        <v/>
      </c>
      <c r="L45" s="3">
        <f>IF(K45="","",ROUND(K45*5/1000,0))</f>
        <v/>
      </c>
      <c r="M45" s="2">
        <f>IF(F45="","",ROUND(F45*$B$247,0))</f>
        <v/>
      </c>
      <c r="N45" s="1">
        <f>IF(M45="","",ROUND(M45*$B$248,0))</f>
        <v/>
      </c>
      <c r="O45" s="1">
        <f>IF(N45="","",ROUND(N45*$B$249,0))</f>
        <v/>
      </c>
      <c r="P45" s="3">
        <f>IF(O45="","",ROUND(O45*7.30,0))</f>
        <v/>
      </c>
      <c r="Q45" s="3">
        <f>IF(L45="","",L45+P45)</f>
        <v/>
      </c>
    </row>
    <row r="46">
      <c r="A46" s="1" t="inlineStr">
        <is>
          <t>Tier 3</t>
        </is>
      </c>
      <c r="B46" s="1" t="inlineStr">
        <is>
          <t>BA</t>
        </is>
      </c>
      <c r="C46" s="2" t="n">
        <v>151410</v>
      </c>
      <c r="D46" s="2" t="n">
        <v>4188</v>
      </c>
      <c r="E46" s="1">
        <f>IFERROR(ROUND(C46/D46,0),"")</f>
        <v/>
      </c>
      <c r="F46" s="2">
        <f>IF(D46="","",D46*$B$244)</f>
        <v/>
      </c>
      <c r="G46" s="2">
        <f>IF(F46="","",ROUND(F46*$B$246,0))</f>
        <v/>
      </c>
      <c r="H46" s="3">
        <f>IF(G46="","",ROUND(G46*10/1000,0))</f>
        <v/>
      </c>
      <c r="I46" s="3">
        <f>IF(G46="","",ROUND(G46*15/1000,0))</f>
        <v/>
      </c>
      <c r="J46" s="3">
        <f>IF(G46="","",ROUND(G46*20/1000,0))</f>
        <v/>
      </c>
      <c r="K46" s="2">
        <f>IF(F46="","",ROUND(F46*0.10,0))</f>
        <v/>
      </c>
      <c r="L46" s="3">
        <f>IF(K46="","",ROUND(K46*5/1000,0))</f>
        <v/>
      </c>
      <c r="M46" s="2">
        <f>IF(F46="","",ROUND(F46*$B$247,0))</f>
        <v/>
      </c>
      <c r="N46" s="1">
        <f>IF(M46="","",ROUND(M46*$B$248,0))</f>
        <v/>
      </c>
      <c r="O46" s="1">
        <f>IF(N46="","",ROUND(N46*$B$249,0))</f>
        <v/>
      </c>
      <c r="P46" s="3">
        <f>IF(O46="","",ROUND(O46*7.30,0))</f>
        <v/>
      </c>
      <c r="Q46" s="3">
        <f>IF(L46="","",L46+P46)</f>
        <v/>
      </c>
    </row>
    <row r="47">
      <c r="A47" s="1" t="inlineStr">
        <is>
          <t>Tier 3</t>
        </is>
      </c>
      <c r="B47" s="1" t="inlineStr">
        <is>
          <t>PK</t>
        </is>
      </c>
      <c r="C47" s="2" t="n">
        <v>203297</v>
      </c>
      <c r="D47" s="2" t="n">
        <v>4091</v>
      </c>
      <c r="E47" s="1">
        <f>IFERROR(ROUND(C47/D47,0),"")</f>
        <v/>
      </c>
      <c r="F47" s="2">
        <f>IF(D47="","",D47*$B$244)</f>
        <v/>
      </c>
      <c r="G47" s="2">
        <f>IF(F47="","",ROUND(F47*$B$246,0))</f>
        <v/>
      </c>
      <c r="H47" s="3">
        <f>IF(G47="","",ROUND(G47*10/1000,0))</f>
        <v/>
      </c>
      <c r="I47" s="3">
        <f>IF(G47="","",ROUND(G47*15/1000,0))</f>
        <v/>
      </c>
      <c r="J47" s="3">
        <f>IF(G47="","",ROUND(G47*20/1000,0))</f>
        <v/>
      </c>
      <c r="K47" s="2">
        <f>IF(F47="","",ROUND(F47*0.10,0))</f>
        <v/>
      </c>
      <c r="L47" s="3">
        <f>IF(K47="","",ROUND(K47*5/1000,0))</f>
        <v/>
      </c>
      <c r="M47" s="2">
        <f>IF(F47="","",ROUND(F47*$B$247,0))</f>
        <v/>
      </c>
      <c r="N47" s="1">
        <f>IF(M47="","",ROUND(M47*$B$248,0))</f>
        <v/>
      </c>
      <c r="O47" s="1">
        <f>IF(N47="","",ROUND(N47*$B$249,0))</f>
        <v/>
      </c>
      <c r="P47" s="3">
        <f>IF(O47="","",ROUND(O47*7.30,0))</f>
        <v/>
      </c>
      <c r="Q47" s="3">
        <f>IF(L47="","",L47+P47)</f>
        <v/>
      </c>
    </row>
    <row r="48">
      <c r="A48" s="1" t="inlineStr">
        <is>
          <t>Tier 3</t>
        </is>
      </c>
      <c r="B48" s="1" t="inlineStr">
        <is>
          <t>IL</t>
        </is>
      </c>
      <c r="C48" s="2" t="n">
        <v>124004</v>
      </c>
      <c r="D48" s="2" t="n">
        <v>4080</v>
      </c>
      <c r="E48" s="1">
        <f>IFERROR(ROUND(C48/D48,0),"")</f>
        <v/>
      </c>
      <c r="F48" s="2">
        <f>IF(D48="","",D48*$B$244)</f>
        <v/>
      </c>
      <c r="G48" s="2">
        <f>IF(F48="","",ROUND(F48*$B$246,0))</f>
        <v/>
      </c>
      <c r="H48" s="3">
        <f>IF(G48="","",ROUND(G48*10/1000,0))</f>
        <v/>
      </c>
      <c r="I48" s="3">
        <f>IF(G48="","",ROUND(G48*15/1000,0))</f>
        <v/>
      </c>
      <c r="J48" s="3">
        <f>IF(G48="","",ROUND(G48*20/1000,0))</f>
        <v/>
      </c>
      <c r="K48" s="2">
        <f>IF(F48="","",ROUND(F48*0.10,0))</f>
        <v/>
      </c>
      <c r="L48" s="3">
        <f>IF(K48="","",ROUND(K48*5/1000,0))</f>
        <v/>
      </c>
      <c r="M48" s="2">
        <f>IF(F48="","",ROUND(F48*$B$247,0))</f>
        <v/>
      </c>
      <c r="N48" s="1">
        <f>IF(M48="","",ROUND(M48*$B$248,0))</f>
        <v/>
      </c>
      <c r="O48" s="1">
        <f>IF(N48="","",ROUND(N48*$B$249,0))</f>
        <v/>
      </c>
      <c r="P48" s="3">
        <f>IF(O48="","",ROUND(O48*7.30,0))</f>
        <v/>
      </c>
      <c r="Q48" s="3">
        <f>IF(L48="","",L48+P48)</f>
        <v/>
      </c>
    </row>
    <row r="49">
      <c r="A49" s="1" t="inlineStr">
        <is>
          <t>Tier 3</t>
        </is>
      </c>
      <c r="B49" s="1" t="inlineStr">
        <is>
          <t>IR</t>
        </is>
      </c>
      <c r="C49" s="2" t="n">
        <v>87931</v>
      </c>
      <c r="D49" s="2" t="n">
        <v>3809</v>
      </c>
      <c r="E49" s="1">
        <f>IFERROR(ROUND(C49/D49,0),"")</f>
        <v/>
      </c>
      <c r="F49" s="2">
        <f>IF(D49="","",D49*$B$244)</f>
        <v/>
      </c>
      <c r="G49" s="2">
        <f>IF(F49="","",ROUND(F49*$B$246,0))</f>
        <v/>
      </c>
      <c r="H49" s="3">
        <f>IF(G49="","",ROUND(G49*10/1000,0))</f>
        <v/>
      </c>
      <c r="I49" s="3">
        <f>IF(G49="","",ROUND(G49*15/1000,0))</f>
        <v/>
      </c>
      <c r="J49" s="3">
        <f>IF(G49="","",ROUND(G49*20/1000,0))</f>
        <v/>
      </c>
      <c r="K49" s="2">
        <f>IF(F49="","",ROUND(F49*0.10,0))</f>
        <v/>
      </c>
      <c r="L49" s="3">
        <f>IF(K49="","",ROUND(K49*5/1000,0))</f>
        <v/>
      </c>
      <c r="M49" s="2">
        <f>IF(F49="","",ROUND(F49*$B$247,0))</f>
        <v/>
      </c>
      <c r="N49" s="1">
        <f>IF(M49="","",ROUND(M49*$B$248,0))</f>
        <v/>
      </c>
      <c r="O49" s="1">
        <f>IF(N49="","",ROUND(N49*$B$249,0))</f>
        <v/>
      </c>
      <c r="P49" s="3">
        <f>IF(O49="","",ROUND(O49*7.30,0))</f>
        <v/>
      </c>
      <c r="Q49" s="3">
        <f>IF(L49="","",L49+P49)</f>
        <v/>
      </c>
    </row>
    <row r="50">
      <c r="A50" s="1" t="inlineStr">
        <is>
          <t>Tier 3</t>
        </is>
      </c>
      <c r="B50" s="1" t="inlineStr">
        <is>
          <t>HR</t>
        </is>
      </c>
      <c r="C50" s="2" t="n">
        <v>109476</v>
      </c>
      <c r="D50" s="2" t="n">
        <v>3692</v>
      </c>
      <c r="E50" s="1">
        <f>IFERROR(ROUND(C50/D50,0),"")</f>
        <v/>
      </c>
      <c r="F50" s="2">
        <f>IF(D50="","",D50*$B$244)</f>
        <v/>
      </c>
      <c r="G50" s="2">
        <f>IF(F50="","",ROUND(F50*$B$246,0))</f>
        <v/>
      </c>
      <c r="H50" s="3">
        <f>IF(G50="","",ROUND(G50*10/1000,0))</f>
        <v/>
      </c>
      <c r="I50" s="3">
        <f>IF(G50="","",ROUND(G50*15/1000,0))</f>
        <v/>
      </c>
      <c r="J50" s="3">
        <f>IF(G50="","",ROUND(G50*20/1000,0))</f>
        <v/>
      </c>
      <c r="K50" s="2">
        <f>IF(F50="","",ROUND(F50*0.10,0))</f>
        <v/>
      </c>
      <c r="L50" s="3">
        <f>IF(K50="","",ROUND(K50*5/1000,0))</f>
        <v/>
      </c>
      <c r="M50" s="2">
        <f>IF(F50="","",ROUND(F50*$B$247,0))</f>
        <v/>
      </c>
      <c r="N50" s="1">
        <f>IF(M50="","",ROUND(M50*$B$248,0))</f>
        <v/>
      </c>
      <c r="O50" s="1">
        <f>IF(N50="","",ROUND(N50*$B$249,0))</f>
        <v/>
      </c>
      <c r="P50" s="3">
        <f>IF(O50="","",ROUND(O50*7.30,0))</f>
        <v/>
      </c>
      <c r="Q50" s="3">
        <f>IF(L50="","",L50+P50)</f>
        <v/>
      </c>
    </row>
    <row r="51">
      <c r="A51" s="1" t="inlineStr">
        <is>
          <t>Tier 3</t>
        </is>
      </c>
      <c r="B51" s="1" t="inlineStr">
        <is>
          <t>CN</t>
        </is>
      </c>
      <c r="C51" s="2" t="n">
        <v>15649</v>
      </c>
      <c r="D51" s="2" t="n">
        <v>3481</v>
      </c>
      <c r="E51" s="1">
        <f>IFERROR(ROUND(C51/D51,0),"")</f>
        <v/>
      </c>
      <c r="F51" s="2">
        <f>IF(D51="","",D51*$B$244)</f>
        <v/>
      </c>
      <c r="G51" s="2">
        <f>IF(F51="","",ROUND(F51*$B$246,0))</f>
        <v/>
      </c>
      <c r="H51" s="3">
        <f>IF(G51="","",ROUND(G51*10/1000,0))</f>
        <v/>
      </c>
      <c r="I51" s="3">
        <f>IF(G51="","",ROUND(G51*15/1000,0))</f>
        <v/>
      </c>
      <c r="J51" s="3">
        <f>IF(G51="","",ROUND(G51*20/1000,0))</f>
        <v/>
      </c>
      <c r="K51" s="2">
        <f>IF(F51="","",ROUND(F51*0.10,0))</f>
        <v/>
      </c>
      <c r="L51" s="3">
        <f>IF(K51="","",ROUND(K51*5/1000,0))</f>
        <v/>
      </c>
      <c r="M51" s="2">
        <f>IF(F51="","",ROUND(F51*$B$247,0))</f>
        <v/>
      </c>
      <c r="N51" s="1">
        <f>IF(M51="","",ROUND(M51*$B$248,0))</f>
        <v/>
      </c>
      <c r="O51">
        <f>IF(N51="","",ROUND(N51*$B$249,0))</f>
        <v/>
      </c>
      <c r="P51" s="3">
        <f>IF(O51="","",ROUND(O51*7.30,0))</f>
        <v/>
      </c>
      <c r="Q51" s="3">
        <f>IF(L51="","",L51+P51)</f>
        <v/>
      </c>
    </row>
    <row r="52">
      <c r="A52" s="1" t="inlineStr">
        <is>
          <t>Tier 3</t>
        </is>
      </c>
      <c r="B52" s="1" t="inlineStr">
        <is>
          <t>AE</t>
        </is>
      </c>
      <c r="C52" s="2" t="n">
        <v>106230</v>
      </c>
      <c r="D52" s="2" t="n">
        <v>3364</v>
      </c>
      <c r="E52" s="1">
        <f>IFERROR(ROUND(C52/D52,0),"")</f>
        <v/>
      </c>
      <c r="F52" s="2">
        <f>IF(D52="","",D52*$B$244)</f>
        <v/>
      </c>
      <c r="G52" s="2">
        <f>IF(F52="","",ROUND(F52*$B$246,0))</f>
        <v/>
      </c>
      <c r="H52" s="3">
        <f>IF(G52="","",ROUND(G52*10/1000,0))</f>
        <v/>
      </c>
      <c r="I52" s="3">
        <f>IF(G52="","",ROUND(G52*15/1000,0))</f>
        <v/>
      </c>
      <c r="J52" s="3">
        <f>IF(G52="","",ROUND(G52*20/1000,0))</f>
        <v/>
      </c>
      <c r="K52" s="2">
        <f>IF(F52="","",ROUND(F52*0.10,0))</f>
        <v/>
      </c>
      <c r="L52" s="3">
        <f>IF(K52="","",ROUND(K52*5/1000,0))</f>
        <v/>
      </c>
      <c r="M52" s="2">
        <f>IF(F52="","",ROUND(F52*$B$247,0))</f>
        <v/>
      </c>
      <c r="N52" s="1">
        <f>IF(M52="","",ROUND(M52*$B$248,0))</f>
        <v/>
      </c>
      <c r="O52" s="1">
        <f>IF(N52="","",ROUND(N52*$B$249,0))</f>
        <v/>
      </c>
      <c r="P52" s="3">
        <f>IF(O52="","",ROUND(O52*7.30,0))</f>
        <v/>
      </c>
      <c r="Q52" s="3">
        <f>IF(L52="","",L52+P52)</f>
        <v/>
      </c>
    </row>
    <row r="53">
      <c r="A53" s="1" t="inlineStr">
        <is>
          <t>Tier 3</t>
        </is>
      </c>
      <c r="B53" s="1" t="inlineStr">
        <is>
          <t>TJ</t>
        </is>
      </c>
      <c r="C53" s="2" t="n">
        <v>140622</v>
      </c>
      <c r="D53" s="2" t="n">
        <v>3360</v>
      </c>
      <c r="E53" s="1">
        <f>IFERROR(ROUND(C53/D53,0),"")</f>
        <v/>
      </c>
      <c r="F53" s="2">
        <f>IF(D53="","",D53*$B$244)</f>
        <v/>
      </c>
      <c r="G53" s="2">
        <f>IF(F53="","",ROUND(F53*$B$246,0))</f>
        <v/>
      </c>
      <c r="H53" s="3">
        <f>IF(G53="","",ROUND(G53*10/1000,0))</f>
        <v/>
      </c>
      <c r="I53" s="3">
        <f>IF(G53="","",ROUND(G53*15/1000,0))</f>
        <v/>
      </c>
      <c r="J53" s="3">
        <f>IF(G53="","",ROUND(G53*20/1000,0))</f>
        <v/>
      </c>
      <c r="K53" s="2">
        <f>IF(F53="","",ROUND(F53*0.10,0))</f>
        <v/>
      </c>
      <c r="L53" s="3">
        <f>IF(K53="","",ROUND(K53*5/1000,0))</f>
        <v/>
      </c>
      <c r="M53" s="2">
        <f>IF(F53="","",ROUND(F53*$B$247,0))</f>
        <v/>
      </c>
      <c r="N53" s="1">
        <f>IF(M53="","",ROUND(M53*$B$248,0))</f>
        <v/>
      </c>
      <c r="O53" s="1">
        <f>IF(N53="","",ROUND(N53*$B$249,0))</f>
        <v/>
      </c>
      <c r="P53" s="3">
        <f>IF(O53="","",ROUND(O53*7.30,0))</f>
        <v/>
      </c>
      <c r="Q53" s="3">
        <f>IF(L53="","",L53+P53)</f>
        <v/>
      </c>
    </row>
    <row r="54">
      <c r="A54" s="1" t="inlineStr">
        <is>
          <t>Tier 3</t>
        </is>
      </c>
      <c r="B54" s="1" t="inlineStr">
        <is>
          <t>IN</t>
        </is>
      </c>
      <c r="C54" s="2" t="n">
        <v>73330</v>
      </c>
      <c r="D54" s="2" t="n">
        <v>3321</v>
      </c>
      <c r="E54" s="1">
        <f>IFERROR(ROUND(C54/D54,0),"")</f>
        <v/>
      </c>
      <c r="F54" s="2">
        <f>IF(D54="","",D54*$B$244)</f>
        <v/>
      </c>
      <c r="G54" s="2">
        <f>IF(F54="","",ROUND(F54*$B$246,0))</f>
        <v/>
      </c>
      <c r="H54" s="3">
        <f>IF(G54="","",ROUND(G54*10/1000,0))</f>
        <v/>
      </c>
      <c r="I54" s="3">
        <f>IF(G54="","",ROUND(G54*15/1000,0))</f>
        <v/>
      </c>
      <c r="J54" s="3">
        <f>IF(G54="","",ROUND(G54*20/1000,0))</f>
        <v/>
      </c>
      <c r="K54" s="2">
        <f>IF(F54="","",ROUND(F54*0.10,0))</f>
        <v/>
      </c>
      <c r="L54" s="3">
        <f>IF(K54="","",ROUND(K54*5/1000,0))</f>
        <v/>
      </c>
      <c r="M54" s="2">
        <f>IF(F54="","",ROUND(F54*$B$247,0))</f>
        <v/>
      </c>
      <c r="N54" s="1">
        <f>IF(M54="","",ROUND(M54*$B$248,0))</f>
        <v/>
      </c>
      <c r="O54" s="1">
        <f>IF(N54="","",ROUND(N54*$B$249,0))</f>
        <v/>
      </c>
      <c r="P54" s="3">
        <f>IF(O54="","",ROUND(O54*7.30,0))</f>
        <v/>
      </c>
      <c r="Q54" s="3">
        <f>IF(L54="","",L54+P54)</f>
        <v/>
      </c>
    </row>
    <row r="55">
      <c r="A55" s="1" t="inlineStr">
        <is>
          <t>Tier 3</t>
        </is>
      </c>
      <c r="B55" s="1" t="inlineStr">
        <is>
          <t>PH</t>
        </is>
      </c>
      <c r="C55" s="2" t="n">
        <v>87978</v>
      </c>
      <c r="D55" s="2" t="n">
        <v>3163</v>
      </c>
      <c r="E55" s="1">
        <f>IFERROR(ROUND(C55/D55,0),"")</f>
        <v/>
      </c>
      <c r="F55" s="2">
        <f>IF(D55="","",D55*$B$244)</f>
        <v/>
      </c>
      <c r="G55" s="2">
        <f>IF(F55="","",ROUND(F55*$B$246,0))</f>
        <v/>
      </c>
      <c r="H55" s="3">
        <f>IF(G55="","",ROUND(G55*10/1000,0))</f>
        <v/>
      </c>
      <c r="I55" s="3">
        <f>IF(G55="","",ROUND(G55*15/1000,0))</f>
        <v/>
      </c>
      <c r="J55" s="3">
        <f>IF(G55="","",ROUND(G55*20/1000,0))</f>
        <v/>
      </c>
      <c r="K55" s="2">
        <f>IF(F55="","",ROUND(F55*0.10,0))</f>
        <v/>
      </c>
      <c r="L55" s="3">
        <f>IF(K55="","",ROUND(K55*5/1000,0))</f>
        <v/>
      </c>
      <c r="M55" s="2">
        <f>IF(F55="","",ROUND(F55*$B$247,0))</f>
        <v/>
      </c>
      <c r="N55" s="1">
        <f>IF(M55="","",ROUND(M55*$B$248,0))</f>
        <v/>
      </c>
      <c r="O55" s="1">
        <f>IF(N55="","",ROUND(N55*$B$249,0))</f>
        <v/>
      </c>
      <c r="P55" s="3">
        <f>IF(O55="","",ROUND(O55*7.30,0))</f>
        <v/>
      </c>
      <c r="Q55" s="3">
        <f>IF(L55="","",L55+P55)</f>
        <v/>
      </c>
    </row>
    <row r="56">
      <c r="A56" s="1" t="inlineStr">
        <is>
          <t>Tier 3</t>
        </is>
      </c>
      <c r="B56" s="1" t="inlineStr">
        <is>
          <t>MY</t>
        </is>
      </c>
      <c r="C56" s="2" t="n">
        <v>68278</v>
      </c>
      <c r="D56" s="2" t="n">
        <v>3147</v>
      </c>
      <c r="E56" s="1">
        <f>IFERROR(ROUND(C56/D56,0),"")</f>
        <v/>
      </c>
      <c r="F56" s="2">
        <f>IF(D56="","",D56*$B$244)</f>
        <v/>
      </c>
      <c r="G56" s="2">
        <f>IF(F56="","",ROUND(F56*$B$246,0))</f>
        <v/>
      </c>
      <c r="H56" s="3">
        <f>IF(G56="","",ROUND(G56*10/1000,0))</f>
        <v/>
      </c>
      <c r="I56" s="3">
        <f>IF(G56="","",ROUND(G56*15/1000,0))</f>
        <v/>
      </c>
      <c r="J56" s="3">
        <f>IF(G56="","",ROUND(G56*20/1000,0))</f>
        <v/>
      </c>
      <c r="K56" s="2">
        <f>IF(F56="","",ROUND(F56*0.10,0))</f>
        <v/>
      </c>
      <c r="L56" s="3">
        <f>IF(K56="","",ROUND(K56*5/1000,0))</f>
        <v/>
      </c>
      <c r="M56" s="2">
        <f>IF(F56="","",ROUND(F56*$B$247,0))</f>
        <v/>
      </c>
      <c r="N56" s="1">
        <f>IF(M56="","",ROUND(M56*$B$248,0))</f>
        <v/>
      </c>
      <c r="O56" s="1">
        <f>IF(N56="","",ROUND(N56*$B$249,0))</f>
        <v/>
      </c>
      <c r="P56" s="3">
        <f>IF(O56="","",ROUND(O56*7.30,0))</f>
        <v/>
      </c>
      <c r="Q56" s="3">
        <f>IF(L56="","",L56+P56)</f>
        <v/>
      </c>
    </row>
    <row r="57">
      <c r="A57" s="1" t="inlineStr">
        <is>
          <t>Tier 3</t>
        </is>
      </c>
      <c r="B57" s="1" t="inlineStr">
        <is>
          <t>GR</t>
        </is>
      </c>
      <c r="C57" s="2" t="n">
        <v>91978</v>
      </c>
      <c r="D57" s="2" t="n">
        <v>2971</v>
      </c>
      <c r="E57" s="1">
        <f>IFERROR(ROUND(C57/D57,0),"")</f>
        <v/>
      </c>
      <c r="F57" s="2">
        <f>IF(D57="","",D57*$B$244)</f>
        <v/>
      </c>
      <c r="G57" s="2">
        <f>IF(F57="","",ROUND(F57*$B$246,0))</f>
        <v/>
      </c>
      <c r="H57" s="3">
        <f>IF(G57="","",ROUND(G57*10/1000,0))</f>
        <v/>
      </c>
      <c r="I57" s="3">
        <f>IF(G57="","",ROUND(G57*15/1000,0))</f>
        <v/>
      </c>
      <c r="J57" s="3">
        <f>IF(G57="","",ROUND(G57*20/1000,0))</f>
        <v/>
      </c>
      <c r="K57" s="2">
        <f>IF(F57="","",ROUND(F57*0.10,0))</f>
        <v/>
      </c>
      <c r="L57" s="3">
        <f>IF(K57="","",ROUND(K57*5/1000,0))</f>
        <v/>
      </c>
      <c r="M57" s="2">
        <f>IF(F57="","",ROUND(F57*$B$247,0))</f>
        <v/>
      </c>
      <c r="N57" s="1">
        <f>IF(M57="","",ROUND(M57*$B$248,0))</f>
        <v/>
      </c>
      <c r="O57" s="1">
        <f>IF(N57="","",ROUND(N57*$B$249,0))</f>
        <v/>
      </c>
      <c r="P57" s="3">
        <f>IF(O57="","",ROUND(O57*7.30,0))</f>
        <v/>
      </c>
      <c r="Q57" s="3">
        <f>IF(L57="","",L57+P57)</f>
        <v/>
      </c>
    </row>
    <row r="58">
      <c r="A58" s="1" t="inlineStr">
        <is>
          <t>Tier 3</t>
        </is>
      </c>
      <c r="B58" s="1" t="inlineStr">
        <is>
          <t>AZ</t>
        </is>
      </c>
      <c r="C58" s="2" t="n">
        <v>100500</v>
      </c>
      <c r="D58" s="2" t="n">
        <v>2955</v>
      </c>
      <c r="E58" s="1">
        <f>IFERROR(ROUND(C58/D58,0),"")</f>
        <v/>
      </c>
      <c r="F58" s="2">
        <f>IF(D58="","",D58*$B$244)</f>
        <v/>
      </c>
      <c r="G58" s="2">
        <f>IF(F58="","",ROUND(F58*$B$246,0))</f>
        <v/>
      </c>
      <c r="H58" s="3">
        <f>IF(G58="","",ROUND(G58*10/1000,0))</f>
        <v/>
      </c>
      <c r="I58" s="3">
        <f>IF(G58="","",ROUND(G58*15/1000,0))</f>
        <v/>
      </c>
      <c r="J58" s="3">
        <f>IF(G58="","",ROUND(G58*20/1000,0))</f>
        <v/>
      </c>
      <c r="K58" s="2">
        <f>IF(F58="","",ROUND(F58*0.10,0))</f>
        <v/>
      </c>
      <c r="L58" s="3">
        <f>IF(K58="","",ROUND(K58*5/1000,0))</f>
        <v/>
      </c>
      <c r="M58" s="2">
        <f>IF(F58="","",ROUND(F58*$B$247,0))</f>
        <v/>
      </c>
      <c r="N58" s="1">
        <f>IF(M58="","",ROUND(M58*$B$248,0))</f>
        <v/>
      </c>
      <c r="O58" s="1">
        <f>IF(N58="","",ROUND(N58*$B$249,0))</f>
        <v/>
      </c>
      <c r="P58" s="3">
        <f>IF(O58="","",ROUND(O58*7.30,0))</f>
        <v/>
      </c>
      <c r="Q58" s="3">
        <f>IF(L58="","",L58+P58)</f>
        <v/>
      </c>
    </row>
    <row r="59">
      <c r="A59" s="1" t="inlineStr">
        <is>
          <t>Tier 3</t>
        </is>
      </c>
      <c r="B59" s="1" t="inlineStr">
        <is>
          <t>CL</t>
        </is>
      </c>
      <c r="C59" s="2" t="n">
        <v>74671</v>
      </c>
      <c r="D59" s="2" t="n">
        <v>2718</v>
      </c>
      <c r="E59" s="1">
        <f>IFERROR(ROUND(C59/D59,0),"")</f>
        <v/>
      </c>
      <c r="F59" s="2">
        <f>IF(D59="","",D59*$B$244)</f>
        <v/>
      </c>
      <c r="G59" s="2">
        <f>IF(F59="","",ROUND(F59*$B$246,0))</f>
        <v/>
      </c>
      <c r="H59" s="3">
        <f>IF(G59="","",ROUND(G59*10/1000,0))</f>
        <v/>
      </c>
      <c r="I59" s="3">
        <f>IF(G59="","",ROUND(G59*15/1000,0))</f>
        <v/>
      </c>
      <c r="J59" s="3">
        <f>IF(G59="","",ROUND(G59*20/1000,0))</f>
        <v/>
      </c>
      <c r="K59" s="2">
        <f>IF(F59="","",ROUND(F59*0.10,0))</f>
        <v/>
      </c>
      <c r="L59" s="3">
        <f>IF(K59="","",ROUND(K59*5/1000,0))</f>
        <v/>
      </c>
      <c r="M59" s="2">
        <f>IF(F59="","",ROUND(F59*$B$247,0))</f>
        <v/>
      </c>
      <c r="N59" s="1">
        <f>IF(M59="","",ROUND(M59*$B$248,0))</f>
        <v/>
      </c>
      <c r="O59" s="1">
        <f>IF(N59="","",ROUND(N59*$B$249,0))</f>
        <v/>
      </c>
      <c r="P59" s="3">
        <f>IF(O59="","",ROUND(O59*7.30,0))</f>
        <v/>
      </c>
      <c r="Q59" s="3">
        <f>IF(L59="","",L59+P59)</f>
        <v/>
      </c>
    </row>
    <row r="60">
      <c r="A60" s="1" t="inlineStr">
        <is>
          <t>Tier 3</t>
        </is>
      </c>
      <c r="B60" s="1" t="inlineStr">
        <is>
          <t>TW</t>
        </is>
      </c>
      <c r="C60" s="2" t="n">
        <v>38241</v>
      </c>
      <c r="D60" s="2" t="n">
        <v>2689</v>
      </c>
      <c r="E60" s="1">
        <f>IFERROR(ROUND(C60/D60,0),"")</f>
        <v/>
      </c>
      <c r="F60" s="2">
        <f>IF(D60="","",D60*$B$244)</f>
        <v/>
      </c>
      <c r="G60" s="2">
        <f>IF(F60="","",ROUND(F60*$B$246,0))</f>
        <v/>
      </c>
      <c r="H60" s="3">
        <f>IF(G60="","",ROUND(G60*10/1000,0))</f>
        <v/>
      </c>
      <c r="I60" s="3">
        <f>IF(G60="","",ROUND(G60*15/1000,0))</f>
        <v/>
      </c>
      <c r="J60" s="3">
        <f>IF(G60="","",ROUND(G60*20/1000,0))</f>
        <v/>
      </c>
      <c r="K60" s="2">
        <f>IF(F60="","",ROUND(F60*0.10,0))</f>
        <v/>
      </c>
      <c r="L60" s="3">
        <f>IF(K60="","",ROUND(K60*5/1000,0))</f>
        <v/>
      </c>
      <c r="M60" s="2">
        <f>IF(F60="","",ROUND(F60*$B$247,0))</f>
        <v/>
      </c>
      <c r="N60" s="1">
        <f>IF(M60="","",ROUND(M60*$B$248,0))</f>
        <v/>
      </c>
      <c r="O60" s="1">
        <f>IF(N60="","",ROUND(N60*$B$249,0))</f>
        <v/>
      </c>
      <c r="P60" s="3">
        <f>IF(O60="","",ROUND(O60*7.30,0))</f>
        <v/>
      </c>
      <c r="Q60" s="3">
        <f>IF(L60="","",L60+P60)</f>
        <v/>
      </c>
    </row>
    <row r="61">
      <c r="A61" s="1" t="inlineStr">
        <is>
          <t>Tier 3</t>
        </is>
      </c>
      <c r="B61" s="1" t="inlineStr">
        <is>
          <t>TH</t>
        </is>
      </c>
      <c r="C61" s="2" t="n">
        <v>65029</v>
      </c>
      <c r="D61" s="2" t="n">
        <v>2650</v>
      </c>
      <c r="E61" s="1">
        <f>IFERROR(ROUND(C61/D61,0),"")</f>
        <v/>
      </c>
      <c r="F61" s="2">
        <f>IF(D61="","",D61*$B$244)</f>
        <v/>
      </c>
      <c r="G61" s="2">
        <f>IF(F61="","",ROUND(F61*$B$246,0))</f>
        <v/>
      </c>
      <c r="H61" s="3">
        <f>IF(G61="","",ROUND(G61*10/1000,0))</f>
        <v/>
      </c>
      <c r="I61" s="3">
        <f>IF(G61="","",ROUND(G61*15/1000,0))</f>
        <v/>
      </c>
      <c r="J61" s="3">
        <f>IF(G61="","",ROUND(G61*20/1000,0))</f>
        <v/>
      </c>
      <c r="K61" s="2">
        <f>IF(F61="","",ROUND(F61*0.10,0))</f>
        <v/>
      </c>
      <c r="L61" s="3">
        <f>IF(K61="","",ROUND(K61*5/1000,0))</f>
        <v/>
      </c>
      <c r="M61" s="2">
        <f>IF(F61="","",ROUND(F61*$B$247,0))</f>
        <v/>
      </c>
      <c r="N61" s="1">
        <f>IF(M61="","",ROUND(M61*$B$248,0))</f>
        <v/>
      </c>
      <c r="O61" s="1">
        <f>IF(N61="","",ROUND(N61*$B$249,0))</f>
        <v/>
      </c>
      <c r="P61" s="3">
        <f>IF(O61="","",ROUND(O61*7.30,0))</f>
        <v/>
      </c>
      <c r="Q61" s="3">
        <f>IF(L61="","",L61+P61)</f>
        <v/>
      </c>
    </row>
    <row r="62">
      <c r="A62" s="1" t="inlineStr">
        <is>
          <t>Tier 3</t>
        </is>
      </c>
      <c r="B62" s="1" t="inlineStr">
        <is>
          <t>ID</t>
        </is>
      </c>
      <c r="C62" s="2" t="n">
        <v>61193</v>
      </c>
      <c r="D62" s="2" t="n">
        <v>2618</v>
      </c>
      <c r="E62" s="1">
        <f>IFERROR(ROUND(C62/D62,0),"")</f>
        <v/>
      </c>
      <c r="F62" s="2">
        <f>IF(D62="","",D62*$B$244)</f>
        <v/>
      </c>
      <c r="G62" s="2">
        <f>IF(F62="","",ROUND(F62*$B$246,0))</f>
        <v/>
      </c>
      <c r="H62" s="3">
        <f>IF(G62="","",ROUND(G62*10/1000,0))</f>
        <v/>
      </c>
      <c r="I62" s="3">
        <f>IF(G62="","",ROUND(G62*15/1000,0))</f>
        <v/>
      </c>
      <c r="J62" s="3">
        <f>IF(G62="","",ROUND(G62*20/1000,0))</f>
        <v/>
      </c>
      <c r="K62" s="2">
        <f>IF(F62="","",ROUND(F62*0.10,0))</f>
        <v/>
      </c>
      <c r="L62" s="3">
        <f>IF(K62="","",ROUND(K62*5/1000,0))</f>
        <v/>
      </c>
      <c r="M62" s="2">
        <f>IF(F62="","",ROUND(F62*$B$247,0))</f>
        <v/>
      </c>
      <c r="N62" s="1">
        <f>IF(M62="","",ROUND(M62*$B$248,0))</f>
        <v/>
      </c>
      <c r="O62" s="1">
        <f>IF(N62="","",ROUND(N62*$B$249,0))</f>
        <v/>
      </c>
      <c r="P62" s="3">
        <f>IF(O62="","",ROUND(O62*7.30,0))</f>
        <v/>
      </c>
      <c r="Q62" s="3">
        <f>IF(L62="","",L62+P62)</f>
        <v/>
      </c>
    </row>
    <row r="63">
      <c r="A63" s="1" t="inlineStr">
        <is>
          <t>Tier 3</t>
        </is>
      </c>
      <c r="B63" s="1" t="inlineStr">
        <is>
          <t>KR</t>
        </is>
      </c>
      <c r="C63" s="2" t="n">
        <v>64701</v>
      </c>
      <c r="D63" s="2" t="n">
        <v>2383</v>
      </c>
      <c r="E63" s="1">
        <f>IFERROR(ROUND(C63/D63,0),"")</f>
        <v/>
      </c>
      <c r="F63" s="2">
        <f>IF(D63="","",D63*$B$244)</f>
        <v/>
      </c>
      <c r="G63" s="2">
        <f>IF(F63="","",ROUND(F63*$B$246,0))</f>
        <v/>
      </c>
      <c r="H63" s="3">
        <f>IF(G63="","",ROUND(G63*10/1000,0))</f>
        <v/>
      </c>
      <c r="I63" s="3">
        <f>IF(G63="","",ROUND(G63*15/1000,0))</f>
        <v/>
      </c>
      <c r="J63" s="3">
        <f>IF(G63="","",ROUND(G63*20/1000,0))</f>
        <v/>
      </c>
      <c r="K63" s="2">
        <f>IF(F63="","",ROUND(F63*0.10,0))</f>
        <v/>
      </c>
      <c r="L63" s="3">
        <f>IF(K63="","",ROUND(K63*5/1000,0))</f>
        <v/>
      </c>
      <c r="M63" s="2">
        <f>IF(F63="","",ROUND(F63*$B$247,0))</f>
        <v/>
      </c>
      <c r="N63" s="1">
        <f>IF(M63="","",ROUND(M63*$B$248,0))</f>
        <v/>
      </c>
      <c r="O63" s="1">
        <f>IF(N63="","",ROUND(N63*$B$249,0))</f>
        <v/>
      </c>
      <c r="P63" s="3">
        <f>IF(O63="","",ROUND(O63*7.30,0))</f>
        <v/>
      </c>
      <c r="Q63" s="3">
        <f>IF(L63="","",L63+P63)</f>
        <v/>
      </c>
    </row>
    <row r="64">
      <c r="A64" s="1" t="inlineStr">
        <is>
          <t>Tier 3</t>
        </is>
      </c>
      <c r="B64" s="1" t="inlineStr">
        <is>
          <t>DZ</t>
        </is>
      </c>
      <c r="C64" s="2" t="n">
        <v>107021</v>
      </c>
      <c r="D64" s="2" t="n">
        <v>2379</v>
      </c>
      <c r="E64" s="1">
        <f>IFERROR(ROUND(C64/D64,0),"")</f>
        <v/>
      </c>
      <c r="F64" s="2">
        <f>IF(D64="","",D64*$B$244)</f>
        <v/>
      </c>
      <c r="G64" s="2">
        <f>IF(F64="","",ROUND(F64*$B$246,0))</f>
        <v/>
      </c>
      <c r="H64" s="3">
        <f>IF(G64="","",ROUND(G64*10/1000,0))</f>
        <v/>
      </c>
      <c r="I64" s="3">
        <f>IF(G64="","",ROUND(G64*15/1000,0))</f>
        <v/>
      </c>
      <c r="J64" s="3">
        <f>IF(G64="","",ROUND(G64*20/1000,0))</f>
        <v/>
      </c>
      <c r="K64" s="2">
        <f>IF(F64="","",ROUND(F64*0.10,0))</f>
        <v/>
      </c>
      <c r="L64" s="3">
        <f>IF(K64="","",ROUND(K64*5/1000,0))</f>
        <v/>
      </c>
      <c r="M64" s="2">
        <f>IF(F64="","",ROUND(F64*$B$247,0))</f>
        <v/>
      </c>
      <c r="N64" s="1">
        <f>IF(M64="","",ROUND(M64*$B$248,0))</f>
        <v/>
      </c>
      <c r="O64" s="1">
        <f>IF(N64="","",ROUND(N64*$B$249,0))</f>
        <v/>
      </c>
      <c r="P64" s="3">
        <f>IF(O64="","",ROUND(O64*7.30,0))</f>
        <v/>
      </c>
      <c r="Q64" s="3">
        <f>IF(L64="","",L64+P64)</f>
        <v/>
      </c>
    </row>
    <row r="65">
      <c r="A65" s="1" t="inlineStr">
        <is>
          <t>Tier 3</t>
        </is>
      </c>
      <c r="B65" s="1" t="inlineStr">
        <is>
          <t>IE</t>
        </is>
      </c>
      <c r="C65" s="2" t="n">
        <v>65299</v>
      </c>
      <c r="D65" s="2" t="n">
        <v>2322</v>
      </c>
      <c r="E65" s="1">
        <f>IFERROR(ROUND(C65/D65,0),"")</f>
        <v/>
      </c>
      <c r="F65" s="2">
        <f>IF(D65="","",D65*$B$244)</f>
        <v/>
      </c>
      <c r="G65" s="2">
        <f>IF(F65="","",ROUND(F65*$B$246,0))</f>
        <v/>
      </c>
      <c r="H65" s="3">
        <f>IF(G65="","",ROUND(G65*10/1000,0))</f>
        <v/>
      </c>
      <c r="I65" s="3">
        <f>IF(G65="","",ROUND(G65*15/1000,0))</f>
        <v/>
      </c>
      <c r="J65" s="3">
        <f>IF(G65="","",ROUND(G65*20/1000,0))</f>
        <v/>
      </c>
      <c r="K65" s="2">
        <f>IF(F65="","",ROUND(F65*0.10,0))</f>
        <v/>
      </c>
      <c r="L65" s="3">
        <f>IF(K65="","",ROUND(K65*5/1000,0))</f>
        <v/>
      </c>
      <c r="M65" s="2">
        <f>IF(F65="","",ROUND(F65*$B$247,0))</f>
        <v/>
      </c>
      <c r="N65" s="1">
        <f>IF(M65="","",ROUND(M65*$B$248,0))</f>
        <v/>
      </c>
      <c r="O65" s="1">
        <f>IF(N65="","",ROUND(N65*$B$249,0))</f>
        <v/>
      </c>
      <c r="P65" s="3">
        <f>IF(O65="","",ROUND(O65*7.30,0))</f>
        <v/>
      </c>
      <c r="Q65" s="3">
        <f>IF(L65="","",L65+P65)</f>
        <v/>
      </c>
    </row>
    <row r="66">
      <c r="A66" s="1" t="inlineStr">
        <is>
          <t>Tier 3</t>
        </is>
      </c>
      <c r="B66" s="1" t="inlineStr">
        <is>
          <t>LB</t>
        </is>
      </c>
      <c r="C66" s="2" t="n">
        <v>97468</v>
      </c>
      <c r="D66" s="2" t="n">
        <v>2197</v>
      </c>
      <c r="E66" s="1">
        <f>IFERROR(ROUND(C66/D66,0),"")</f>
        <v/>
      </c>
      <c r="F66" s="2">
        <f>IF(D66="","",D66*$B$244)</f>
        <v/>
      </c>
      <c r="G66" s="2">
        <f>IF(F66="","",ROUND(F66*$B$246,0))</f>
        <v/>
      </c>
      <c r="H66" s="3">
        <f>IF(G66="","",ROUND(G66*10/1000,0))</f>
        <v/>
      </c>
      <c r="I66" s="3">
        <f>IF(G66="","",ROUND(G66*15/1000,0))</f>
        <v/>
      </c>
      <c r="J66" s="3">
        <f>IF(G66="","",ROUND(G66*20/1000,0))</f>
        <v/>
      </c>
      <c r="K66" s="2">
        <f>IF(F66="","",ROUND(F66*0.10,0))</f>
        <v/>
      </c>
      <c r="L66" s="3">
        <f>IF(K66="","",ROUND(K66*5/1000,0))</f>
        <v/>
      </c>
      <c r="M66" s="2">
        <f>IF(F66="","",ROUND(F66*$B$247,0))</f>
        <v/>
      </c>
      <c r="N66" s="1">
        <f>IF(M66="","",ROUND(M66*$B$248,0))</f>
        <v/>
      </c>
      <c r="O66" s="1">
        <f>IF(N66="","",ROUND(N66*$B$249,0))</f>
        <v/>
      </c>
      <c r="P66" s="3">
        <f>IF(O66="","",ROUND(O66*7.30,0))</f>
        <v/>
      </c>
      <c r="Q66" s="3">
        <f>IF(L66="","",L66+P66)</f>
        <v/>
      </c>
    </row>
    <row r="67">
      <c r="A67" s="1" t="inlineStr">
        <is>
          <t>Tier 3</t>
        </is>
      </c>
      <c r="B67" s="1" t="inlineStr">
        <is>
          <t>SI</t>
        </is>
      </c>
      <c r="C67" s="2" t="n">
        <v>55270</v>
      </c>
      <c r="D67" s="2" t="n">
        <v>1803</v>
      </c>
      <c r="E67" s="1">
        <f>IFERROR(ROUND(C67/D67,0),"")</f>
        <v/>
      </c>
      <c r="F67" s="2">
        <f>IF(D67="","",D67*$B$244)</f>
        <v/>
      </c>
      <c r="G67" s="2">
        <f>IF(F67="","",ROUND(F67*$B$246,0))</f>
        <v/>
      </c>
      <c r="H67" s="3">
        <f>IF(G67="","",ROUND(G67*10/1000,0))</f>
        <v/>
      </c>
      <c r="I67" s="3">
        <f>IF(G67="","",ROUND(G67*15/1000,0))</f>
        <v/>
      </c>
      <c r="J67" s="3">
        <f>IF(G67="","",ROUND(G67*20/1000,0))</f>
        <v/>
      </c>
      <c r="K67" s="2">
        <f>IF(F67="","",ROUND(F67*0.10,0))</f>
        <v/>
      </c>
      <c r="L67" s="3">
        <f>IF(K67="","",ROUND(K67*5/1000,0))</f>
        <v/>
      </c>
      <c r="M67" s="2">
        <f>IF(F67="","",ROUND(F67*$B$247,0))</f>
        <v/>
      </c>
      <c r="N67" s="1">
        <f>IF(M67="","",ROUND(M67*$B$248,0))</f>
        <v/>
      </c>
      <c r="O67" s="1">
        <f>IF(N67="","",ROUND(N67*$B$249,0))</f>
        <v/>
      </c>
      <c r="P67" s="3">
        <f>IF(O67="","",ROUND(O67*7.30,0))</f>
        <v/>
      </c>
      <c r="Q67" s="3">
        <f>IF(L67="","",L67+P67)</f>
        <v/>
      </c>
    </row>
    <row r="68">
      <c r="A68" s="1" t="inlineStr">
        <is>
          <t>Tier 3</t>
        </is>
      </c>
      <c r="B68" s="1" t="inlineStr">
        <is>
          <t>JO</t>
        </is>
      </c>
      <c r="C68" s="2" t="n">
        <v>71965</v>
      </c>
      <c r="D68" s="2" t="n">
        <v>1778</v>
      </c>
      <c r="E68" s="1">
        <f>IFERROR(ROUND(C68/D68,0),"")</f>
        <v/>
      </c>
      <c r="F68" s="2">
        <f>IF(D68="","",D68*$B$244)</f>
        <v/>
      </c>
      <c r="G68" s="2">
        <f>IF(F68="","",ROUND(F68*$B$246,0))</f>
        <v/>
      </c>
      <c r="H68" s="3">
        <f>IF(G68="","",ROUND(G68*10/1000,0))</f>
        <v/>
      </c>
      <c r="I68" s="3">
        <f>IF(G68="","",ROUND(G68*15/1000,0))</f>
        <v/>
      </c>
      <c r="J68" s="3">
        <f>IF(G68="","",ROUND(G68*20/1000,0))</f>
        <v/>
      </c>
      <c r="K68" s="2">
        <f>IF(F68="","",ROUND(F68*0.10,0))</f>
        <v/>
      </c>
      <c r="L68" s="3">
        <f>IF(K68="","",ROUND(K68*5/1000,0))</f>
        <v/>
      </c>
      <c r="M68" s="2">
        <f>IF(F68="","",ROUND(F68*$B$247,0))</f>
        <v/>
      </c>
      <c r="N68" s="1">
        <f>IF(M68="","",ROUND(M68*$B$248,0))</f>
        <v/>
      </c>
      <c r="O68" s="1">
        <f>IF(N68="","",ROUND(N68*$B$249,0))</f>
        <v/>
      </c>
      <c r="P68" s="3">
        <f>IF(O68="","",ROUND(O68*7.30,0))</f>
        <v/>
      </c>
      <c r="Q68" s="3">
        <f>IF(L68="","",L68+P68)</f>
        <v/>
      </c>
    </row>
    <row r="69">
      <c r="A69" s="1" t="inlineStr">
        <is>
          <t>Tier 3</t>
        </is>
      </c>
      <c r="B69" s="1" t="inlineStr">
        <is>
          <t>PE</t>
        </is>
      </c>
      <c r="C69" s="2" t="n">
        <v>49628</v>
      </c>
      <c r="D69" s="2" t="n">
        <v>1658</v>
      </c>
      <c r="E69" s="1">
        <f>IFERROR(ROUND(C69/D69,0),"")</f>
        <v/>
      </c>
      <c r="F69" s="2">
        <f>IF(D69="","",D69*$B$244)</f>
        <v/>
      </c>
      <c r="G69" s="2">
        <f>IF(F69="","",ROUND(F69*$B$246,0))</f>
        <v/>
      </c>
      <c r="H69" s="3">
        <f>IF(G69="","",ROUND(G69*10/1000,0))</f>
        <v/>
      </c>
      <c r="I69" s="3">
        <f>IF(G69="","",ROUND(G69*15/1000,0))</f>
        <v/>
      </c>
      <c r="J69" s="3">
        <f>IF(G69="","",ROUND(G69*20/1000,0))</f>
        <v/>
      </c>
      <c r="K69" s="2">
        <f>IF(F69="","",ROUND(F69*0.10,0))</f>
        <v/>
      </c>
      <c r="L69" s="3">
        <f>IF(K69="","",ROUND(K69*5/1000,0))</f>
        <v/>
      </c>
      <c r="M69" s="2">
        <f>IF(F69="","",ROUND(F69*$B$247,0))</f>
        <v/>
      </c>
      <c r="N69" s="1">
        <f>IF(M69="","",ROUND(M69*$B$248,0))</f>
        <v/>
      </c>
      <c r="O69" s="1">
        <f>IF(N69="","",ROUND(N69*$B$249,0))</f>
        <v/>
      </c>
      <c r="P69" s="3">
        <f>IF(O69="","",ROUND(O69*7.30,0))</f>
        <v/>
      </c>
      <c r="Q69" s="3">
        <f>IF(L69="","",L69+P69)</f>
        <v/>
      </c>
    </row>
    <row r="70">
      <c r="A70" s="1" t="inlineStr">
        <is>
          <t>Tier 3</t>
        </is>
      </c>
      <c r="B70" s="1" t="inlineStr">
        <is>
          <t>JP</t>
        </is>
      </c>
      <c r="C70" s="2" t="n">
        <v>29409</v>
      </c>
      <c r="D70" s="2" t="n">
        <v>1652</v>
      </c>
      <c r="E70" s="1">
        <f>IFERROR(ROUND(C70/D70,0),"")</f>
        <v/>
      </c>
      <c r="F70" s="2">
        <f>IF(D70="","",D70*$B$244)</f>
        <v/>
      </c>
      <c r="G70" s="2">
        <f>IF(F70="","",ROUND(F70*$B$246,0))</f>
        <v/>
      </c>
      <c r="H70" s="3">
        <f>IF(G70="","",ROUND(G70*10/1000,0))</f>
        <v/>
      </c>
      <c r="I70" s="3">
        <f>IF(G70="","",ROUND(G70*15/1000,0))</f>
        <v/>
      </c>
      <c r="J70" s="3">
        <f>IF(G70="","",ROUND(G70*20/1000,0))</f>
        <v/>
      </c>
      <c r="K70" s="2">
        <f>IF(F70="","",ROUND(F70*0.10,0))</f>
        <v/>
      </c>
      <c r="L70" s="3">
        <f>IF(K70="","",ROUND(K70*5/1000,0))</f>
        <v/>
      </c>
      <c r="M70" s="2">
        <f>IF(F70="","",ROUND(F70*$B$247,0))</f>
        <v/>
      </c>
      <c r="N70" s="1">
        <f>IF(M70="","",ROUND(M70*$B$248,0))</f>
        <v/>
      </c>
      <c r="O70" s="1">
        <f>IF(N70="","",ROUND(N70*$B$249,0))</f>
        <v/>
      </c>
      <c r="P70" s="3">
        <f>IF(O70="","",ROUND(O70*7.30,0))</f>
        <v/>
      </c>
      <c r="Q70" s="3">
        <f>IF(L70="","",L70+P70)</f>
        <v/>
      </c>
    </row>
    <row r="71">
      <c r="A71" s="1" t="inlineStr">
        <is>
          <t>Tier 3</t>
        </is>
      </c>
      <c r="B71" s="1" t="inlineStr">
        <is>
          <t>ME</t>
        </is>
      </c>
      <c r="C71" s="2" t="n">
        <v>66118</v>
      </c>
      <c r="D71" s="2" t="n">
        <v>1566</v>
      </c>
      <c r="E71" s="1">
        <f>IFERROR(ROUND(C71/D71,0),"")</f>
        <v/>
      </c>
      <c r="F71" s="2">
        <f>IF(D71="","",D71*$B$244)</f>
        <v/>
      </c>
      <c r="G71" s="2">
        <f>IF(F71="","",ROUND(F71*$B$246,0))</f>
        <v/>
      </c>
      <c r="H71" s="3">
        <f>IF(G71="","",ROUND(G71*10/1000,0))</f>
        <v/>
      </c>
      <c r="I71" s="3">
        <f>IF(G71="","",ROUND(G71*15/1000,0))</f>
        <v/>
      </c>
      <c r="J71" s="3">
        <f>IF(G71="","",ROUND(G71*20/1000,0))</f>
        <v/>
      </c>
      <c r="K71" s="2">
        <f>IF(F71="","",ROUND(F71*0.10,0))</f>
        <v/>
      </c>
      <c r="L71" s="3">
        <f>IF(K71="","",ROUND(K71*5/1000,0))</f>
        <v/>
      </c>
      <c r="M71" s="2">
        <f>IF(F71="","",ROUND(F71*$B$247,0))</f>
        <v/>
      </c>
      <c r="N71" s="1">
        <f>IF(M71="","",ROUND(M71*$B$248,0))</f>
        <v/>
      </c>
      <c r="O71" s="1">
        <f>IF(N71="","",ROUND(N71*$B$249,0))</f>
        <v/>
      </c>
      <c r="P71" s="3">
        <f>IF(O71="","",ROUND(O71*7.30,0))</f>
        <v/>
      </c>
      <c r="Q71" s="3">
        <f>IF(L71="","",L71+P71)</f>
        <v/>
      </c>
    </row>
    <row r="72">
      <c r="A72" s="1" t="inlineStr">
        <is>
          <t>Tier 3</t>
        </is>
      </c>
      <c r="B72" s="1" t="inlineStr">
        <is>
          <t>AM</t>
        </is>
      </c>
      <c r="C72" s="2" t="n">
        <v>49934</v>
      </c>
      <c r="D72" s="2" t="n">
        <v>1435</v>
      </c>
      <c r="E72" s="1">
        <f>IFERROR(ROUND(C72/D72,0),"")</f>
        <v/>
      </c>
      <c r="F72" s="2">
        <f>IF(D72="","",D72*$B$244)</f>
        <v/>
      </c>
      <c r="G72" s="2">
        <f>IF(F72="","",ROUND(F72*$B$246,0))</f>
        <v/>
      </c>
      <c r="H72" s="3">
        <f>IF(G72="","",ROUND(G72*10/1000,0))</f>
        <v/>
      </c>
      <c r="I72" s="3">
        <f>IF(G72="","",ROUND(G72*15/1000,0))</f>
        <v/>
      </c>
      <c r="J72" s="3">
        <f>IF(G72="","",ROUND(G72*20/1000,0))</f>
        <v/>
      </c>
      <c r="K72" s="2">
        <f>IF(F72="","",ROUND(F72*0.10,0))</f>
        <v/>
      </c>
      <c r="L72" s="3">
        <f>IF(K72="","",ROUND(K72*5/1000,0))</f>
        <v/>
      </c>
      <c r="M72" s="2">
        <f>IF(F72="","",ROUND(F72*$B$247,0))</f>
        <v/>
      </c>
      <c r="N72" s="1">
        <f>IF(M72="","",ROUND(M72*$B$248,0))</f>
        <v/>
      </c>
      <c r="O72" s="1">
        <f>IF(N72="","",ROUND(N72*$B$249,0))</f>
        <v/>
      </c>
      <c r="P72" s="3">
        <f>IF(O72="","",ROUND(O72*7.30,0))</f>
        <v/>
      </c>
      <c r="Q72" s="3">
        <f>IF(L72="","",L72+P72)</f>
        <v/>
      </c>
    </row>
    <row r="73">
      <c r="A73" s="1" t="inlineStr">
        <is>
          <t>Tier 3</t>
        </is>
      </c>
      <c r="B73" s="1" t="inlineStr">
        <is>
          <t>PS</t>
        </is>
      </c>
      <c r="C73" s="2" t="n">
        <v>42690</v>
      </c>
      <c r="D73" s="2" t="n">
        <v>1160</v>
      </c>
      <c r="E73" s="1">
        <f>IFERROR(ROUND(C73/D73,0),"")</f>
        <v/>
      </c>
      <c r="F73" s="2">
        <f>IF(D73="","",D73*$B$244)</f>
        <v/>
      </c>
      <c r="G73" s="2">
        <f>IF(F73="","",ROUND(F73*$B$246,0))</f>
        <v/>
      </c>
      <c r="H73" s="3">
        <f>IF(G73="","",ROUND(G73*10/1000,0))</f>
        <v/>
      </c>
      <c r="I73" s="3">
        <f>IF(G73="","",ROUND(G73*15/1000,0))</f>
        <v/>
      </c>
      <c r="J73" s="3">
        <f>IF(G73="","",ROUND(G73*20/1000,0))</f>
        <v/>
      </c>
      <c r="K73" s="2">
        <f>IF(F73="","",ROUND(F73*0.10,0))</f>
        <v/>
      </c>
      <c r="L73" s="3">
        <f>IF(K73="","",ROUND(K73*5/1000,0))</f>
        <v/>
      </c>
      <c r="M73" s="2">
        <f>IF(F73="","",ROUND(F73*$B$247,0))</f>
        <v/>
      </c>
      <c r="N73" s="1">
        <f>IF(M73="","",ROUND(M73*$B$248,0))</f>
        <v/>
      </c>
      <c r="O73" s="1">
        <f>IF(N73="","",ROUND(N73*$B$249,0))</f>
        <v/>
      </c>
      <c r="P73" s="3">
        <f>IF(O73="","",ROUND(O73*7.30,0))</f>
        <v/>
      </c>
      <c r="Q73" s="3">
        <f>IF(L73="","",L73+P73)</f>
        <v/>
      </c>
    </row>
    <row r="74">
      <c r="A74" s="1" t="inlineStr">
        <is>
          <t>Tier 3</t>
        </is>
      </c>
      <c r="B74" s="1" t="inlineStr">
        <is>
          <t>UY</t>
        </is>
      </c>
      <c r="C74" s="2" t="n">
        <v>33031</v>
      </c>
      <c r="D74" s="2" t="n">
        <v>1151</v>
      </c>
      <c r="E74" s="1">
        <f>IFERROR(ROUND(C74/D74,0),"")</f>
        <v/>
      </c>
      <c r="F74" s="2">
        <f>IF(D74="","",D74*$B$244)</f>
        <v/>
      </c>
      <c r="G74" s="2">
        <f>IF(F74="","",ROUND(F74*$B$246,0))</f>
        <v/>
      </c>
      <c r="H74" s="3">
        <f>IF(G74="","",ROUND(G74*10/1000,0))</f>
        <v/>
      </c>
      <c r="I74" s="3">
        <f>IF(G74="","",ROUND(G74*15/1000,0))</f>
        <v/>
      </c>
      <c r="J74" s="3">
        <f>IF(G74="","",ROUND(G74*20/1000,0))</f>
        <v/>
      </c>
      <c r="K74" s="2">
        <f>IF(F74="","",ROUND(F74*0.10,0))</f>
        <v/>
      </c>
      <c r="L74" s="3">
        <f>IF(K74="","",ROUND(K74*5/1000,0))</f>
        <v/>
      </c>
      <c r="M74" s="2">
        <f>IF(F74="","",ROUND(F74*$B$247,0))</f>
        <v/>
      </c>
      <c r="N74" s="1">
        <f>IF(M74="","",ROUND(M74*$B$248,0))</f>
        <v/>
      </c>
      <c r="O74" s="1">
        <f>IF(N74="","",ROUND(N74*$B$249,0))</f>
        <v/>
      </c>
      <c r="P74" s="3">
        <f>IF(O74="","",ROUND(O74*7.30,0))</f>
        <v/>
      </c>
      <c r="Q74" s="3">
        <f>IF(L74="","",L74+P74)</f>
        <v/>
      </c>
    </row>
    <row r="75">
      <c r="A75" s="1" t="inlineStr">
        <is>
          <t>Tier 3</t>
        </is>
      </c>
      <c r="B75" s="1" t="inlineStr">
        <is>
          <t>IS</t>
        </is>
      </c>
      <c r="C75" s="2" t="n">
        <v>27513</v>
      </c>
      <c r="D75" s="2" t="n">
        <v>1008</v>
      </c>
      <c r="E75" s="1">
        <f>IFERROR(ROUND(C75/D75,0),"")</f>
        <v/>
      </c>
      <c r="F75" s="2">
        <f>IF(D75="","",D75*$B$244)</f>
        <v/>
      </c>
      <c r="G75" s="2">
        <f>IF(F75="","",ROUND(F75*$B$246,0))</f>
        <v/>
      </c>
      <c r="H75" s="3">
        <f>IF(G75="","",ROUND(G75*10/1000,0))</f>
        <v/>
      </c>
      <c r="I75" s="3">
        <f>IF(G75="","",ROUND(G75*15/1000,0))</f>
        <v/>
      </c>
      <c r="J75" s="3">
        <f>IF(G75="","",ROUND(G75*20/1000,0))</f>
        <v/>
      </c>
      <c r="K75" s="2">
        <f>IF(F75="","",ROUND(F75*0.10,0))</f>
        <v/>
      </c>
      <c r="L75" s="3">
        <f>IF(K75="","",ROUND(K75*5/1000,0))</f>
        <v/>
      </c>
      <c r="M75" s="2">
        <f>IF(F75="","",ROUND(F75*$B$247,0))</f>
        <v/>
      </c>
      <c r="N75" s="1">
        <f>IF(M75="","",ROUND(M75*$B$248,0))</f>
        <v/>
      </c>
      <c r="O75" s="1">
        <f>IF(N75="","",ROUND(N75*$B$249,0))</f>
        <v/>
      </c>
      <c r="P75" s="3">
        <f>IF(O75="","",ROUND(O75*7.30,0))</f>
        <v/>
      </c>
      <c r="Q75" s="3">
        <f>IF(L75="","",L75+P75)</f>
        <v/>
      </c>
    </row>
    <row r="76">
      <c r="A76" s="1" t="inlineStr">
        <is>
          <t>Tier 3</t>
        </is>
      </c>
      <c r="B76" s="1" t="inlineStr">
        <is>
          <t>SA</t>
        </is>
      </c>
      <c r="C76" s="2" t="n">
        <v>31288</v>
      </c>
      <c r="D76" s="1" t="n">
        <v>928</v>
      </c>
      <c r="E76" s="1">
        <f>IFERROR(ROUND(C76/D76,0),"")</f>
        <v/>
      </c>
      <c r="F76" s="2">
        <f>IF(D76="","",D76*$B$244)</f>
        <v/>
      </c>
      <c r="G76" s="2">
        <f>IF(F76="","",ROUND(F76*$B$246,0))</f>
        <v/>
      </c>
      <c r="H76" s="3">
        <f>IF(G76="","",ROUND(G76*10/1000,0))</f>
        <v/>
      </c>
      <c r="I76" s="3">
        <f>IF(G76="","",ROUND(G76*15/1000,0))</f>
        <v/>
      </c>
      <c r="J76" s="3">
        <f>IF(G76="","",ROUND(G76*20/1000,0))</f>
        <v/>
      </c>
      <c r="K76" s="2">
        <f>IF(F76="","",ROUND(F76*0.10,0))</f>
        <v/>
      </c>
      <c r="L76" s="3">
        <f>IF(K76="","",ROUND(K76*5/1000,0))</f>
        <v/>
      </c>
      <c r="M76" s="2">
        <f>IF(F76="","",ROUND(F76*$B$247,0))</f>
        <v/>
      </c>
      <c r="N76" s="1">
        <f>IF(M76="","",ROUND(M76*$B$248,0))</f>
        <v/>
      </c>
      <c r="O76" s="1">
        <f>IF(N76="","",ROUND(N76*$B$249,0))</f>
        <v/>
      </c>
      <c r="P76" s="3">
        <f>IF(O76="","",ROUND(O76*7.30,0))</f>
        <v/>
      </c>
      <c r="Q76" s="3">
        <f>IF(L76="","",L76+P76)</f>
        <v/>
      </c>
    </row>
    <row r="77">
      <c r="A77" s="1" t="inlineStr">
        <is>
          <t>Tier 3</t>
        </is>
      </c>
      <c r="B77" s="1" t="inlineStr">
        <is>
          <t>MX</t>
        </is>
      </c>
      <c r="C77" s="2" t="n">
        <v>23308</v>
      </c>
      <c r="D77" s="1" t="n">
        <v>894</v>
      </c>
      <c r="E77" s="1">
        <f>IFERROR(ROUND(C77/D77,0),"")</f>
        <v/>
      </c>
      <c r="F77" s="2">
        <f>IF(D77="","",D77*$B$244)</f>
        <v/>
      </c>
      <c r="G77" s="2">
        <f>IF(F77="","",ROUND(F77*$B$246,0))</f>
        <v/>
      </c>
      <c r="H77" s="3">
        <f>IF(G77="","",ROUND(G77*10/1000,0))</f>
        <v/>
      </c>
      <c r="I77" s="3">
        <f>IF(G77="","",ROUND(G77*15/1000,0))</f>
        <v/>
      </c>
      <c r="J77" s="3">
        <f>IF(G77="","",ROUND(G77*20/1000,0))</f>
        <v/>
      </c>
      <c r="K77" s="2">
        <f>IF(F77="","",ROUND(F77*0.10,0))</f>
        <v/>
      </c>
      <c r="L77" s="3">
        <f>IF(K77="","",ROUND(K77*5/1000,0))</f>
        <v/>
      </c>
      <c r="M77" s="2">
        <f>IF(F77="","",ROUND(F77*$B$247,0))</f>
        <v/>
      </c>
      <c r="N77" s="1">
        <f>IF(M77="","",ROUND(M77*$B$248,0))</f>
        <v/>
      </c>
      <c r="O77" s="1">
        <f>IF(N77="","",ROUND(N77*$B$249,0))</f>
        <v/>
      </c>
      <c r="P77" s="3">
        <f>IF(O77="","",ROUND(O77*7.30,0))</f>
        <v/>
      </c>
      <c r="Q77" s="3">
        <f>IF(L77="","",L77+P77)</f>
        <v/>
      </c>
    </row>
    <row r="78">
      <c r="A78" s="1" t="inlineStr">
        <is>
          <t>Tier 3</t>
        </is>
      </c>
      <c r="B78" s="1" t="inlineStr">
        <is>
          <t>IQ</t>
        </is>
      </c>
      <c r="C78" s="2" t="n">
        <v>34287</v>
      </c>
      <c r="D78" s="1" t="n">
        <v>888</v>
      </c>
      <c r="E78" s="1">
        <f>IFERROR(ROUND(C78/D78,0),"")</f>
        <v/>
      </c>
      <c r="F78" s="2">
        <f>IF(D78="","",D78*$B$244)</f>
        <v/>
      </c>
      <c r="G78" s="2">
        <f>IF(F78="","",ROUND(F78*$B$246,0))</f>
        <v/>
      </c>
      <c r="H78" s="3">
        <f>IF(G78="","",ROUND(G78*10/1000,0))</f>
        <v/>
      </c>
      <c r="I78" s="3">
        <f>IF(G78="","",ROUND(G78*15/1000,0))</f>
        <v/>
      </c>
      <c r="J78" s="3">
        <f>IF(G78="","",ROUND(G78*20/1000,0))</f>
        <v/>
      </c>
      <c r="K78" s="2">
        <f>IF(F78="","",ROUND(F78*0.10,0))</f>
        <v/>
      </c>
      <c r="L78" s="3">
        <f>IF(K78="","",ROUND(K78*5/1000,0))</f>
        <v/>
      </c>
      <c r="M78" s="2">
        <f>IF(F78="","",ROUND(F78*$B$247,0))</f>
        <v/>
      </c>
      <c r="N78" s="1">
        <f>IF(M78="","",ROUND(M78*$B$248,0))</f>
        <v/>
      </c>
      <c r="O78" s="1">
        <f>IF(N78="","",ROUND(N78*$B$249,0))</f>
        <v/>
      </c>
      <c r="P78" s="3">
        <f>IF(O78="","",ROUND(O78*7.30,0))</f>
        <v/>
      </c>
      <c r="Q78" s="3">
        <f>IF(L78="","",L78+P78)</f>
        <v/>
      </c>
    </row>
    <row r="79">
      <c r="A79" s="1" t="inlineStr">
        <is>
          <t>Tier 3</t>
        </is>
      </c>
      <c r="B79" s="1" t="inlineStr">
        <is>
          <t>CY</t>
        </is>
      </c>
      <c r="C79" s="2" t="n">
        <v>18833</v>
      </c>
      <c r="D79" s="1" t="n">
        <v>703</v>
      </c>
      <c r="E79" s="1">
        <f>IFERROR(ROUND(C79/D79,0),"")</f>
        <v/>
      </c>
      <c r="F79" s="2">
        <f>IF(D79="","",D79*$B$244)</f>
        <v/>
      </c>
      <c r="G79" s="2">
        <f>IF(F79="","",ROUND(F79*$B$246,0))</f>
        <v/>
      </c>
      <c r="H79" s="3">
        <f>IF(G79="","",ROUND(G79*10/1000,0))</f>
        <v/>
      </c>
      <c r="I79" s="3">
        <f>IF(G79="","",ROUND(G79*15/1000,0))</f>
        <v/>
      </c>
      <c r="J79" s="3">
        <f>IF(G79="","",ROUND(G79*20/1000,0))</f>
        <v/>
      </c>
      <c r="K79" s="2">
        <f>IF(F79="","",ROUND(F79*0.10,0))</f>
        <v/>
      </c>
      <c r="L79" s="3">
        <f>IF(K79="","",ROUND(K79*5/1000,0))</f>
        <v/>
      </c>
      <c r="M79" s="2">
        <f>IF(F79="","",ROUND(F79*$B$247,0))</f>
        <v/>
      </c>
      <c r="N79" s="1">
        <f>IF(M79="","",ROUND(M79*$B$248,0))</f>
        <v/>
      </c>
      <c r="O79">
        <f>IF(N79="","",ROUND(N79*$B$249,0))</f>
        <v/>
      </c>
      <c r="P79" s="3">
        <f>IF(O79="","",ROUND(O79*7.30,0))</f>
        <v/>
      </c>
      <c r="Q79" s="3">
        <f>IF(L79="","",L79+P79)</f>
        <v/>
      </c>
    </row>
    <row r="80">
      <c r="A80" s="1" t="inlineStr">
        <is>
          <t>Tier 3</t>
        </is>
      </c>
      <c r="B80" s="1" t="inlineStr">
        <is>
          <t>NZ</t>
        </is>
      </c>
      <c r="C80" s="2" t="n">
        <v>15975</v>
      </c>
      <c r="D80" s="1" t="n">
        <v>681</v>
      </c>
      <c r="E80" s="1">
        <f>IFERROR(ROUND(C80/D80,0),"")</f>
        <v/>
      </c>
      <c r="F80" s="2">
        <f>IF(D80="","",D80*$B$244)</f>
        <v/>
      </c>
      <c r="G80" s="2">
        <f>IF(F80="","",ROUND(F80*$B$246,0))</f>
        <v/>
      </c>
      <c r="H80" s="3">
        <f>IF(G80="","",ROUND(G80*10/1000,0))</f>
        <v/>
      </c>
      <c r="I80" s="3">
        <f>IF(G80="","",ROUND(G80*15/1000,0))</f>
        <v/>
      </c>
      <c r="J80" s="3">
        <f>IF(G80="","",ROUND(G80*20/1000,0))</f>
        <v/>
      </c>
      <c r="K80" s="2">
        <f>IF(F80="","",ROUND(F80*0.10,0))</f>
        <v/>
      </c>
      <c r="L80" s="3">
        <f>IF(K80="","",ROUND(K80*5/1000,0))</f>
        <v/>
      </c>
      <c r="M80" s="2">
        <f>IF(F80="","",ROUND(F80*$B$247,0))</f>
        <v/>
      </c>
      <c r="N80" s="1">
        <f>IF(M80="","",ROUND(M80*$B$248,0))</f>
        <v/>
      </c>
      <c r="O80">
        <f>IF(N80="","",ROUND(N80*$B$249,0))</f>
        <v/>
      </c>
      <c r="P80" s="3">
        <f>IF(O80="","",ROUND(O80*7.30,0))</f>
        <v/>
      </c>
      <c r="Q80" s="3">
        <f>IF(L80="","",L80+P80)</f>
        <v/>
      </c>
    </row>
    <row r="81">
      <c r="A81" s="1" t="inlineStr">
        <is>
          <t>Tier 3</t>
        </is>
      </c>
      <c r="B81" s="1" t="inlineStr">
        <is>
          <t>VE</t>
        </is>
      </c>
      <c r="C81" s="2" t="n">
        <v>29353</v>
      </c>
      <c r="D81" s="1" t="n">
        <v>647</v>
      </c>
      <c r="E81" s="1">
        <f>IFERROR(ROUND(C81/D81,0),"")</f>
        <v/>
      </c>
      <c r="F81" s="2">
        <f>IF(D81="","",D81*$B$244)</f>
        <v/>
      </c>
      <c r="G81" s="2">
        <f>IF(F81="","",ROUND(F81*$B$246,0))</f>
        <v/>
      </c>
      <c r="H81" s="3">
        <f>IF(G81="","",ROUND(G81*10/1000,0))</f>
        <v/>
      </c>
      <c r="I81" s="3">
        <f>IF(G81="","",ROUND(G81*15/1000,0))</f>
        <v/>
      </c>
      <c r="J81" s="3">
        <f>IF(G81="","",ROUND(G81*20/1000,0))</f>
        <v/>
      </c>
      <c r="K81" s="2">
        <f>IF(F81="","",ROUND(F81*0.10,0))</f>
        <v/>
      </c>
      <c r="L81" s="3">
        <f>IF(K81="","",ROUND(K81*5/1000,0))</f>
        <v/>
      </c>
      <c r="M81" s="2">
        <f>IF(F81="","",ROUND(F81*$B$247,0))</f>
        <v/>
      </c>
      <c r="N81" s="1">
        <f>IF(M81="","",ROUND(M81*$B$248,0))</f>
        <v/>
      </c>
      <c r="O81" s="1">
        <f>IF(N81="","",ROUND(N81*$B$249,0))</f>
        <v/>
      </c>
      <c r="P81" s="3">
        <f>IF(O81="","",ROUND(O81*7.30,0))</f>
        <v/>
      </c>
      <c r="Q81" s="3">
        <f>IF(L81="","",L81+P81)</f>
        <v/>
      </c>
    </row>
    <row r="82">
      <c r="A82" s="1" t="inlineStr">
        <is>
          <t>Tier 3</t>
        </is>
      </c>
      <c r="B82" s="1" t="inlineStr">
        <is>
          <t>TN</t>
        </is>
      </c>
      <c r="C82" s="2" t="n">
        <v>20837</v>
      </c>
      <c r="D82" s="1" t="n">
        <v>638</v>
      </c>
      <c r="E82" s="1">
        <f>IFERROR(ROUND(C82/D82,0),"")</f>
        <v/>
      </c>
      <c r="F82" s="2">
        <f>IF(D82="","",D82*$B$244)</f>
        <v/>
      </c>
      <c r="G82" s="2">
        <f>IF(F82="","",ROUND(F82*$B$246,0))</f>
        <v/>
      </c>
      <c r="H82" s="3">
        <f>IF(G82="","",ROUND(G82*10/1000,0))</f>
        <v/>
      </c>
      <c r="I82" s="3">
        <f>IF(G82="","",ROUND(G82*15/1000,0))</f>
        <v/>
      </c>
      <c r="J82" s="3">
        <f>IF(G82="","",ROUND(G82*20/1000,0))</f>
        <v/>
      </c>
      <c r="K82" s="2">
        <f>IF(F82="","",ROUND(F82*0.10,0))</f>
        <v/>
      </c>
      <c r="L82" s="3">
        <f>IF(K82="","",ROUND(K82*5/1000,0))</f>
        <v/>
      </c>
      <c r="M82" s="2">
        <f>IF(F82="","",ROUND(F82*$B$247,0))</f>
        <v/>
      </c>
      <c r="N82" s="1">
        <f>IF(M82="","",ROUND(M82*$B$248,0))</f>
        <v/>
      </c>
      <c r="O82" s="1">
        <f>IF(N82="","",ROUND(N82*$B$249,0))</f>
        <v/>
      </c>
      <c r="P82" s="3">
        <f>IF(O82="","",ROUND(O82*7.30,0))</f>
        <v/>
      </c>
      <c r="Q82" s="3">
        <f>IF(L82="","",L82+P82)</f>
        <v/>
      </c>
    </row>
    <row r="83">
      <c r="A83" s="1" t="inlineStr">
        <is>
          <t>Tier 3</t>
        </is>
      </c>
      <c r="B83" s="1" t="inlineStr">
        <is>
          <t>MA</t>
        </is>
      </c>
      <c r="C83" s="2" t="n">
        <v>21525</v>
      </c>
      <c r="D83" s="1" t="n">
        <v>577</v>
      </c>
      <c r="E83" s="1">
        <f>IFERROR(ROUND(C83/D83,0),"")</f>
        <v/>
      </c>
      <c r="F83" s="2">
        <f>IF(D83="","",D83*$B$244)</f>
        <v/>
      </c>
      <c r="G83" s="2">
        <f>IF(F83="","",ROUND(F83*$B$246,0))</f>
        <v/>
      </c>
      <c r="H83" s="3">
        <f>IF(G83="","",ROUND(G83*10/1000,0))</f>
        <v/>
      </c>
      <c r="I83" s="3">
        <f>IF(G83="","",ROUND(G83*15/1000,0))</f>
        <v/>
      </c>
      <c r="J83" s="3">
        <f>IF(G83="","",ROUND(G83*20/1000,0))</f>
        <v/>
      </c>
      <c r="K83" s="2">
        <f>IF(F83="","",ROUND(F83*0.10,0))</f>
        <v/>
      </c>
      <c r="L83" s="3">
        <f>IF(K83="","",ROUND(K83*5/1000,0))</f>
        <v/>
      </c>
      <c r="M83" s="2">
        <f>IF(F83="","",ROUND(F83*$B$247,0))</f>
        <v/>
      </c>
      <c r="N83" s="1">
        <f>IF(M83="","",ROUND(M83*$B$248,0))</f>
        <v/>
      </c>
      <c r="O83" s="1">
        <f>IF(N83="","",ROUND(N83*$B$249,0))</f>
        <v/>
      </c>
      <c r="P83" s="3">
        <f>IF(O83="","",ROUND(O83*7.30,0))</f>
        <v/>
      </c>
      <c r="Q83" s="3">
        <f>IF(L83="","",L83+P83)</f>
        <v/>
      </c>
    </row>
    <row r="84">
      <c r="A84" s="1" t="inlineStr">
        <is>
          <t>Tier 3</t>
        </is>
      </c>
      <c r="B84" s="1" t="inlineStr">
        <is>
          <t>CO</t>
        </is>
      </c>
      <c r="C84" s="2" t="n">
        <v>13002</v>
      </c>
      <c r="D84" s="1" t="n">
        <v>537</v>
      </c>
      <c r="E84" s="1">
        <f>IFERROR(ROUND(C84/D84,0),"")</f>
        <v/>
      </c>
      <c r="F84" s="2">
        <f>IF(D84="","",D84*$B$244)</f>
        <v/>
      </c>
      <c r="G84" s="2">
        <f>IF(F84="","",ROUND(F84*$B$246,0))</f>
        <v/>
      </c>
      <c r="H84" s="3">
        <f>IF(G84="","",ROUND(G84*10/1000,0))</f>
        <v/>
      </c>
      <c r="I84" s="3">
        <f>IF(G84="","",ROUND(G84*15/1000,0))</f>
        <v/>
      </c>
      <c r="J84" s="3">
        <f>IF(G84="","",ROUND(G84*20/1000,0))</f>
        <v/>
      </c>
      <c r="K84" s="2">
        <f>IF(F84="","",ROUND(F84*0.10,0))</f>
        <v/>
      </c>
      <c r="L84" s="3">
        <f>IF(K84="","",ROUND(K84*5/1000,0))</f>
        <v/>
      </c>
      <c r="M84" s="2">
        <f>IF(F84="","",ROUND(F84*$B$247,0))</f>
        <v/>
      </c>
      <c r="N84" s="1">
        <f>IF(M84="","",ROUND(M84*$B$248,0))</f>
        <v/>
      </c>
      <c r="O84">
        <f>IF(N84="","",ROUND(N84*$B$249,0))</f>
        <v/>
      </c>
      <c r="P84" s="3">
        <f>IF(O84="","",ROUND(O84*7.30,0))</f>
        <v/>
      </c>
      <c r="Q84" s="3">
        <f>IF(L84="","",L84+P84)</f>
        <v/>
      </c>
    </row>
    <row r="85">
      <c r="A85" s="1" t="inlineStr">
        <is>
          <t>Tier 3</t>
        </is>
      </c>
      <c r="B85" s="1" t="inlineStr">
        <is>
          <t>EG</t>
        </is>
      </c>
      <c r="C85" s="2" t="n">
        <v>16150</v>
      </c>
      <c r="D85" s="1" t="n">
        <v>441</v>
      </c>
      <c r="E85" s="1">
        <f>IFERROR(ROUND(C85/D85,0),"")</f>
        <v/>
      </c>
      <c r="F85" s="2">
        <f>IF(D85="","",D85*$B$244)</f>
        <v/>
      </c>
      <c r="G85" s="2">
        <f>IF(F85="","",ROUND(F85*$B$246,0))</f>
        <v/>
      </c>
      <c r="H85" s="3">
        <f>IF(G85="","",ROUND(G85*10/1000,0))</f>
        <v/>
      </c>
      <c r="I85" s="3">
        <f>IF(G85="","",ROUND(G85*15/1000,0))</f>
        <v/>
      </c>
      <c r="J85" s="3">
        <f>IF(G85="","",ROUND(G85*20/1000,0))</f>
        <v/>
      </c>
      <c r="K85" s="2">
        <f>IF(F85="","",ROUND(F85*0.10,0))</f>
        <v/>
      </c>
      <c r="L85" s="3">
        <f>IF(K85="","",ROUND(K85*5/1000,0))</f>
        <v/>
      </c>
      <c r="M85" s="2">
        <f>IF(F85="","",ROUND(F85*$B$247,0))</f>
        <v/>
      </c>
      <c r="N85" s="1">
        <f>IF(M85="","",ROUND(M85*$B$248,0))</f>
        <v/>
      </c>
      <c r="O85">
        <f>IF(N85="","",ROUND(N85*$B$249,0))</f>
        <v/>
      </c>
      <c r="P85" s="3">
        <f>IF(O85="","",ROUND(O85*7.30,0))</f>
        <v/>
      </c>
      <c r="Q85" s="3">
        <f>IF(L85="","",L85+P85)</f>
        <v/>
      </c>
    </row>
    <row r="86">
      <c r="A86" s="1" t="inlineStr">
        <is>
          <t>Tier 3</t>
        </is>
      </c>
      <c r="B86" s="1" t="inlineStr">
        <is>
          <t>LU</t>
        </is>
      </c>
      <c r="C86" s="2" t="n">
        <v>9407</v>
      </c>
      <c r="D86" s="1" t="n">
        <v>422</v>
      </c>
      <c r="E86" s="1">
        <f>IFERROR(ROUND(C86/D86,0),"")</f>
        <v/>
      </c>
      <c r="F86" s="2">
        <f>IF(D86="","",D86*$B$244)</f>
        <v/>
      </c>
      <c r="G86" s="2">
        <f>IF(F86="","",ROUND(F86*$B$246,0))</f>
        <v/>
      </c>
      <c r="H86" s="3">
        <f>IF(G86="","",ROUND(G86*10/1000,0))</f>
        <v/>
      </c>
      <c r="I86" s="3">
        <f>IF(G86="","",ROUND(G86*15/1000,0))</f>
        <v/>
      </c>
      <c r="J86" s="3">
        <f>IF(G86="","",ROUND(G86*20/1000,0))</f>
        <v/>
      </c>
      <c r="K86" s="2">
        <f>IF(F86="","",ROUND(F86*0.10,0))</f>
        <v/>
      </c>
      <c r="L86" s="3">
        <f>IF(K86="","",ROUND(K86*5/1000,0))</f>
        <v/>
      </c>
      <c r="M86" s="2">
        <f>IF(F86="","",ROUND(F86*$B$247,0))</f>
        <v/>
      </c>
      <c r="N86" s="1">
        <f>IF(M86="","",ROUND(M86*$B$248,0))</f>
        <v/>
      </c>
      <c r="O86">
        <f>IF(N86="","",ROUND(N86*$B$249,0))</f>
        <v/>
      </c>
      <c r="P86" s="3">
        <f>IF(O86="","",ROUND(O86*7.30,0))</f>
        <v/>
      </c>
      <c r="Q86" s="3">
        <f>IF(L86="","",L86+P86)</f>
        <v/>
      </c>
    </row>
    <row r="87">
      <c r="A87" s="1" t="inlineStr">
        <is>
          <t>Tier 3</t>
        </is>
      </c>
      <c r="B87" s="1" t="inlineStr">
        <is>
          <t>BD</t>
        </is>
      </c>
      <c r="C87" s="2" t="n">
        <v>10599</v>
      </c>
      <c r="D87" s="1" t="n">
        <v>397</v>
      </c>
      <c r="E87" s="1">
        <f>IFERROR(ROUND(C87/D87,0),"")</f>
        <v/>
      </c>
      <c r="F87" s="2">
        <f>IF(D87="","",D87*$B$244)</f>
        <v/>
      </c>
      <c r="G87" s="2">
        <f>IF(F87="","",ROUND(F87*$B$246,0))</f>
        <v/>
      </c>
      <c r="H87" s="3">
        <f>IF(G87="","",ROUND(G87*10/1000,0))</f>
        <v/>
      </c>
      <c r="I87" s="3">
        <f>IF(G87="","",ROUND(G87*15/1000,0))</f>
        <v/>
      </c>
      <c r="J87" s="3">
        <f>IF(G87="","",ROUND(G87*20/1000,0))</f>
        <v/>
      </c>
      <c r="K87" s="2">
        <f>IF(F87="","",ROUND(F87*0.10,0))</f>
        <v/>
      </c>
      <c r="L87" s="3">
        <f>IF(K87="","",ROUND(K87*5/1000,0))</f>
        <v/>
      </c>
      <c r="M87" s="2">
        <f>IF(F87="","",ROUND(F87*$B$247,0))</f>
        <v/>
      </c>
      <c r="N87" s="1">
        <f>IF(M87="","",ROUND(M87*$B$248,0))</f>
        <v/>
      </c>
      <c r="O87">
        <f>IF(N87="","",ROUND(N87*$B$249,0))</f>
        <v/>
      </c>
      <c r="P87" s="3">
        <f>IF(O87="","",ROUND(O87*7.30,0))</f>
        <v/>
      </c>
      <c r="Q87" s="3">
        <f>IF(L87="","",L87+P87)</f>
        <v/>
      </c>
    </row>
    <row r="88">
      <c r="A88" s="1" t="inlineStr">
        <is>
          <t>Tier 3</t>
        </is>
      </c>
      <c r="B88" s="1" t="inlineStr">
        <is>
          <t>SY</t>
        </is>
      </c>
      <c r="C88" s="2" t="n">
        <v>15405</v>
      </c>
      <c r="D88" s="1" t="n">
        <v>386</v>
      </c>
      <c r="E88" s="1">
        <f>IFERROR(ROUND(C88/D88,0),"")</f>
        <v/>
      </c>
      <c r="F88" s="2">
        <f>IF(D88="","",D88*$B$244)</f>
        <v/>
      </c>
      <c r="G88" s="2">
        <f>IF(F88="","",ROUND(F88*$B$246,0))</f>
        <v/>
      </c>
      <c r="H88" s="3">
        <f>IF(G88="","",ROUND(G88*10/1000,0))</f>
        <v/>
      </c>
      <c r="I88" s="3">
        <f>IF(G88="","",ROUND(G88*15/1000,0))</f>
        <v/>
      </c>
      <c r="J88" s="3">
        <f>IF(G88="","",ROUND(G88*20/1000,0))</f>
        <v/>
      </c>
      <c r="K88" s="2">
        <f>IF(F88="","",ROUND(F88*0.10,0))</f>
        <v/>
      </c>
      <c r="L88" s="3">
        <f>IF(K88="","",ROUND(K88*5/1000,0))</f>
        <v/>
      </c>
      <c r="M88" s="2">
        <f>IF(F88="","",ROUND(F88*$B$247,0))</f>
        <v/>
      </c>
      <c r="N88" s="1">
        <f>IF(M88="","",ROUND(M88*$B$248,0))</f>
        <v/>
      </c>
      <c r="O88">
        <f>IF(N88="","",ROUND(N88*$B$249,0))</f>
        <v/>
      </c>
      <c r="P88" s="3">
        <f>IF(O88="","",ROUND(O88*7.30,0))</f>
        <v/>
      </c>
      <c r="Q88" s="3">
        <f>IF(L88="","",L88+P88)</f>
        <v/>
      </c>
    </row>
    <row r="89">
      <c r="A89" s="1" t="inlineStr">
        <is>
          <t>Tier 3</t>
        </is>
      </c>
      <c r="B89" s="1" t="inlineStr">
        <is>
          <t>KW</t>
        </is>
      </c>
      <c r="C89" s="2" t="n">
        <v>13923</v>
      </c>
      <c r="D89" s="1" t="n">
        <v>348</v>
      </c>
      <c r="E89" s="1">
        <f>IFERROR(ROUND(C89/D89,0),"")</f>
        <v/>
      </c>
      <c r="F89" s="2">
        <f>IF(D89="","",D89*$B$244)</f>
        <v/>
      </c>
      <c r="G89" s="2">
        <f>IF(F89="","",ROUND(F89*$B$246,0))</f>
        <v/>
      </c>
      <c r="H89" s="3">
        <f>IF(G89="","",ROUND(G89*10/1000,0))</f>
        <v/>
      </c>
      <c r="I89" s="3">
        <f>IF(G89="","",ROUND(G89*15/1000,0))</f>
        <v/>
      </c>
      <c r="J89" s="3">
        <f>IF(G89="","",ROUND(G89*20/1000,0))</f>
        <v/>
      </c>
      <c r="K89" s="1">
        <f>IF(F89="","",ROUND(F89*0.10,0))</f>
        <v/>
      </c>
      <c r="L89" s="3">
        <f>IF(K89="","",ROUND(K89*5/1000,0))</f>
        <v/>
      </c>
      <c r="M89" s="2">
        <f>IF(F89="","",ROUND(F89*$B$247,0))</f>
        <v/>
      </c>
      <c r="N89" s="1">
        <f>IF(M89="","",ROUND(M89*$B$248,0))</f>
        <v/>
      </c>
      <c r="O89">
        <f>IF(N89="","",ROUND(N89*$B$249,0))</f>
        <v/>
      </c>
      <c r="P89" s="3">
        <f>IF(O89="","",ROUND(O89*7.30,0))</f>
        <v/>
      </c>
      <c r="Q89" s="3">
        <f>IF(L89="","",L89+P89)</f>
        <v/>
      </c>
    </row>
    <row r="90">
      <c r="A90" s="1" t="inlineStr">
        <is>
          <t>Tier 3</t>
        </is>
      </c>
      <c r="B90" s="1" t="inlineStr">
        <is>
          <t>KH</t>
        </is>
      </c>
      <c r="C90" s="2" t="n">
        <v>10681</v>
      </c>
      <c r="D90" s="1" t="n">
        <v>336</v>
      </c>
      <c r="E90" s="1">
        <f>IFERROR(ROUND(C90/D90,0),"")</f>
        <v/>
      </c>
      <c r="F90" s="2">
        <f>IF(D90="","",D90*$B$244)</f>
        <v/>
      </c>
      <c r="G90" s="2">
        <f>IF(F90="","",ROUND(F90*$B$246,0))</f>
        <v/>
      </c>
      <c r="H90" s="3">
        <f>IF(G90="","",ROUND(G90*10/1000,0))</f>
        <v/>
      </c>
      <c r="I90" s="3">
        <f>IF(G90="","",ROUND(G90*15/1000,0))</f>
        <v/>
      </c>
      <c r="J90" s="3">
        <f>IF(G90="","",ROUND(G90*20/1000,0))</f>
        <v/>
      </c>
      <c r="K90" s="1">
        <f>IF(F90="","",ROUND(F90*0.10,0))</f>
        <v/>
      </c>
      <c r="L90" s="3">
        <f>IF(K90="","",ROUND(K90*5/1000,0))</f>
        <v/>
      </c>
      <c r="M90" s="2">
        <f>IF(F90="","",ROUND(F90*$B$247,0))</f>
        <v/>
      </c>
      <c r="N90" s="1">
        <f>IF(M90="","",ROUND(M90*$B$248,0))</f>
        <v/>
      </c>
      <c r="O90">
        <f>IF(N90="","",ROUND(N90*$B$249,0))</f>
        <v/>
      </c>
      <c r="P90" s="3">
        <f>IF(O90="","",ROUND(O90*7.30,0))</f>
        <v/>
      </c>
      <c r="Q90" s="3">
        <f>IF(L90="","",L90+P90)</f>
        <v/>
      </c>
    </row>
    <row r="91">
      <c r="A91" s="1" t="inlineStr">
        <is>
          <t>Tier 3</t>
        </is>
      </c>
      <c r="B91" s="1" t="inlineStr">
        <is>
          <t>PY</t>
        </is>
      </c>
      <c r="C91" s="2" t="n">
        <v>7917</v>
      </c>
      <c r="D91" s="1" t="n">
        <v>318</v>
      </c>
      <c r="E91" s="1">
        <f>IFERROR(ROUND(C91/D91,0),"")</f>
        <v/>
      </c>
      <c r="F91" s="2">
        <f>IF(D91="","",D91*$B$244)</f>
        <v/>
      </c>
      <c r="G91" s="2">
        <f>IF(F91="","",ROUND(F91*$B$246,0))</f>
        <v/>
      </c>
      <c r="H91" s="3">
        <f>IF(G91="","",ROUND(G91*10/1000,0))</f>
        <v/>
      </c>
      <c r="I91" s="3">
        <f>IF(G91="","",ROUND(G91*15/1000,0))</f>
        <v/>
      </c>
      <c r="J91" s="3">
        <f>IF(G91="","",ROUND(G91*20/1000,0))</f>
        <v/>
      </c>
      <c r="K91" s="1">
        <f>IF(F91="","",ROUND(F91*0.10,0))</f>
        <v/>
      </c>
      <c r="L91" s="3">
        <f>IF(K91="","",ROUND(K91*5/1000,0))</f>
        <v/>
      </c>
      <c r="M91" s="2">
        <f>IF(F91="","",ROUND(F91*$B$247,0))</f>
        <v/>
      </c>
      <c r="N91" s="1">
        <f>IF(M91="","",ROUND(M91*$B$248,0))</f>
        <v/>
      </c>
      <c r="O91">
        <f>IF(N91="","",ROUND(N91*$B$249,0))</f>
        <v/>
      </c>
      <c r="P91" s="3">
        <f>IF(O91="","",ROUND(O91*7.30,0))</f>
        <v/>
      </c>
      <c r="Q91" s="3">
        <f>IF(L91="","",L91+P91)</f>
        <v/>
      </c>
    </row>
    <row r="92">
      <c r="A92" s="1" t="inlineStr">
        <is>
          <t>Tier 3</t>
        </is>
      </c>
      <c r="B92" s="1" t="inlineStr">
        <is>
          <t>ZA</t>
        </is>
      </c>
      <c r="C92" s="2" t="n">
        <v>7752</v>
      </c>
      <c r="D92" s="1" t="n">
        <v>310</v>
      </c>
      <c r="E92" s="1">
        <f>IFERROR(ROUND(C92/D92,0),"")</f>
        <v/>
      </c>
      <c r="F92" s="2">
        <f>IF(D92="","",D92*$B$244)</f>
        <v/>
      </c>
      <c r="G92" s="2">
        <f>IF(F92="","",ROUND(F92*$B$246,0))</f>
        <v/>
      </c>
      <c r="H92" s="3">
        <f>IF(G92="","",ROUND(G92*10/1000,0))</f>
        <v/>
      </c>
      <c r="I92" s="3">
        <f>IF(G92="","",ROUND(G92*15/1000,0))</f>
        <v/>
      </c>
      <c r="J92" s="3">
        <f>IF(G92="","",ROUND(G92*20/1000,0))</f>
        <v/>
      </c>
      <c r="K92" s="1">
        <f>IF(F92="","",ROUND(F92*0.10,0))</f>
        <v/>
      </c>
      <c r="L92" s="3">
        <f>IF(K92="","",ROUND(K92*5/1000,0))</f>
        <v/>
      </c>
      <c r="M92" s="2">
        <f>IF(F92="","",ROUND(F92*$B$247,0))</f>
        <v/>
      </c>
      <c r="N92" s="1">
        <f>IF(M92="","",ROUND(M92*$B$248,0))</f>
        <v/>
      </c>
      <c r="O92">
        <f>IF(N92="","",ROUND(N92*$B$249,0))</f>
        <v/>
      </c>
      <c r="P92" s="3">
        <f>IF(O92="","",ROUND(O92*7.30,0))</f>
        <v/>
      </c>
      <c r="Q92" s="3">
        <f>IF(L92="","",L92+P92)</f>
        <v/>
      </c>
    </row>
    <row r="93">
      <c r="A93" s="1" t="inlineStr">
        <is>
          <t>Tier 3</t>
        </is>
      </c>
      <c r="B93" s="1" t="inlineStr">
        <is>
          <t>OM</t>
        </is>
      </c>
      <c r="C93" s="2" t="n">
        <v>3473</v>
      </c>
      <c r="D93" s="1" t="n">
        <v>275</v>
      </c>
      <c r="E93" s="1">
        <f>IFERROR(ROUND(C93/D93,0),"")</f>
        <v/>
      </c>
      <c r="F93" s="2">
        <f>IF(D93="","",D93*$B$244)</f>
        <v/>
      </c>
      <c r="G93" s="2">
        <f>IF(F93="","",ROUND(F93*$B$246,0))</f>
        <v/>
      </c>
      <c r="H93" s="3">
        <f>IF(G93="","",ROUND(G93*10/1000,0))</f>
        <v/>
      </c>
      <c r="I93" s="3">
        <f>IF(G93="","",ROUND(G93*15/1000,0))</f>
        <v/>
      </c>
      <c r="J93" s="3">
        <f>IF(G93="","",ROUND(G93*20/1000,0))</f>
        <v/>
      </c>
      <c r="K93" s="1">
        <f>IF(F93="","",ROUND(F93*0.10,0))</f>
        <v/>
      </c>
      <c r="L93" s="3">
        <f>IF(K93="","",ROUND(K93*5/1000,0))</f>
        <v/>
      </c>
      <c r="M93" s="2">
        <f>IF(F93="","",ROUND(F93*$B$247,0))</f>
        <v/>
      </c>
      <c r="N93" s="1">
        <f>IF(M93="","",ROUND(M93*$B$248,0))</f>
        <v/>
      </c>
      <c r="O93">
        <f>IF(N93="","",ROUND(N93*$B$249,0))</f>
        <v/>
      </c>
      <c r="P93" s="3">
        <f>IF(O93="","",ROUND(O93*7.30,0))</f>
        <v/>
      </c>
      <c r="Q93" s="3">
        <f>IF(L93="","",L93+P93)</f>
        <v/>
      </c>
    </row>
    <row r="94">
      <c r="A94" s="1" t="inlineStr">
        <is>
          <t>Tier 3</t>
        </is>
      </c>
      <c r="B94" s="1" t="inlineStr">
        <is>
          <t>MT</t>
        </is>
      </c>
      <c r="C94" s="2" t="n">
        <v>6938</v>
      </c>
      <c r="D94" s="1" t="n">
        <v>210</v>
      </c>
      <c r="E94" s="1">
        <f>IFERROR(ROUND(C94/D94,0),"")</f>
        <v/>
      </c>
      <c r="F94" s="2">
        <f>IF(D94="","",D94*$B$244)</f>
        <v/>
      </c>
      <c r="G94" s="2">
        <f>IF(F94="","",ROUND(F94*$B$246,0))</f>
        <v/>
      </c>
      <c r="H94" s="3">
        <f>IF(G94="","",ROUND(G94*10/1000,0))</f>
        <v/>
      </c>
      <c r="I94" s="3">
        <f>IF(G94="","",ROUND(G94*15/1000,0))</f>
        <v/>
      </c>
      <c r="J94" s="3">
        <f>IF(G94="","",ROUND(G94*20/1000,0))</f>
        <v/>
      </c>
      <c r="K94" s="1">
        <f>IF(F94="","",ROUND(F94*0.10,0))</f>
        <v/>
      </c>
      <c r="L94" s="3">
        <f>IF(K94="","",ROUND(K94*5/1000,0))</f>
        <v/>
      </c>
      <c r="M94" s="2">
        <f>IF(F94="","",ROUND(F94*$B$247,0))</f>
        <v/>
      </c>
      <c r="N94" s="1">
        <f>IF(M94="","",ROUND(M94*$B$248,0))</f>
        <v/>
      </c>
      <c r="O94">
        <f>IF(N94="","",ROUND(N94*$B$249,0))</f>
        <v/>
      </c>
      <c r="P94" s="3">
        <f>IF(O94="","",ROUND(O94*7.30,0))</f>
        <v/>
      </c>
      <c r="Q94" s="3">
        <f>IF(L94="","",L94+P94)</f>
        <v/>
      </c>
    </row>
    <row r="95">
      <c r="A95" s="1" t="inlineStr">
        <is>
          <t>Tier 3</t>
        </is>
      </c>
      <c r="B95" s="1" t="inlineStr">
        <is>
          <t>QA</t>
        </is>
      </c>
      <c r="C95" s="2" t="n">
        <v>7404</v>
      </c>
      <c r="D95" s="1" t="n">
        <v>191</v>
      </c>
      <c r="E95" s="1">
        <f>IFERROR(ROUND(C95/D95,0),"")</f>
        <v/>
      </c>
      <c r="F95" s="2">
        <f>IF(D95="","",D95*$B$244)</f>
        <v/>
      </c>
      <c r="G95" s="2">
        <f>IF(F95="","",ROUND(F95*$B$246,0))</f>
        <v/>
      </c>
      <c r="H95" s="3">
        <f>IF(G95="","",ROUND(G95*10/1000,0))</f>
        <v/>
      </c>
      <c r="I95" s="3">
        <f>IF(G95="","",ROUND(G95*15/1000,0))</f>
        <v/>
      </c>
      <c r="J95" s="3">
        <f>IF(G95="","",ROUND(G95*20/1000,0))</f>
        <v/>
      </c>
      <c r="K95" s="1">
        <f>IF(F95="","",ROUND(F95*0.10,0))</f>
        <v/>
      </c>
      <c r="L95" s="3">
        <f>IF(K95="","",ROUND(K95*5/1000,0))</f>
        <v/>
      </c>
      <c r="M95" s="2">
        <f>IF(F95="","",ROUND(F95*$B$247,0))</f>
        <v/>
      </c>
      <c r="N95" s="1">
        <f>IF(M95="","",ROUND(M95*$B$248,0))</f>
        <v/>
      </c>
      <c r="O95">
        <f>IF(N95="","",ROUND(N95*$B$249,0))</f>
        <v/>
      </c>
      <c r="P95" s="3">
        <f>IF(O95="","",ROUND(O95*7.30,0))</f>
        <v/>
      </c>
      <c r="Q95" s="3">
        <f>IF(L95="","",L95+P95)</f>
        <v/>
      </c>
    </row>
    <row r="96">
      <c r="A96" s="1" t="inlineStr">
        <is>
          <t>Tier 3</t>
        </is>
      </c>
      <c r="B96" s="1" t="inlineStr">
        <is>
          <t>MM</t>
        </is>
      </c>
      <c r="C96" s="2" t="n">
        <v>7213</v>
      </c>
      <c r="D96" s="1" t="n">
        <v>182</v>
      </c>
      <c r="E96" s="1">
        <f>IFERROR(ROUND(C96/D96,0),"")</f>
        <v/>
      </c>
      <c r="F96" s="2">
        <f>IF(D96="","",D96*$B$244)</f>
        <v/>
      </c>
      <c r="G96" s="2">
        <f>IF(F96="","",ROUND(F96*$B$246,0))</f>
        <v/>
      </c>
      <c r="H96" s="3">
        <f>IF(G96="","",ROUND(G96*10/1000,0))</f>
        <v/>
      </c>
      <c r="I96" s="3">
        <f>IF(G96="","",ROUND(G96*15/1000,0))</f>
        <v/>
      </c>
      <c r="J96" s="3">
        <f>IF(G96="","",ROUND(G96*20/1000,0))</f>
        <v/>
      </c>
      <c r="K96" s="1">
        <f>IF(F96="","",ROUND(F96*0.10,0))</f>
        <v/>
      </c>
      <c r="L96" s="3">
        <f>IF(K96="","",ROUND(K96*5/1000,0))</f>
        <v/>
      </c>
      <c r="M96" s="2">
        <f>IF(F96="","",ROUND(F96*$B$247,0))</f>
        <v/>
      </c>
      <c r="N96" s="1">
        <f>IF(M96="","",ROUND(M96*$B$248,0))</f>
        <v/>
      </c>
      <c r="O96">
        <f>IF(N96="","",ROUND(N96*$B$249,0))</f>
        <v/>
      </c>
      <c r="P96" s="3">
        <f>IF(O96="","",ROUND(O96*7.30,0))</f>
        <v/>
      </c>
      <c r="Q96" s="3">
        <f>IF(L96="","",L96+P96)</f>
        <v/>
      </c>
    </row>
    <row r="97">
      <c r="A97" s="1" t="inlineStr">
        <is>
          <t>Tier 3</t>
        </is>
      </c>
      <c r="B97" s="1" t="inlineStr">
        <is>
          <t>BN</t>
        </is>
      </c>
      <c r="C97" s="2" t="n">
        <v>3898</v>
      </c>
      <c r="D97" s="1" t="n">
        <v>163</v>
      </c>
      <c r="E97" s="1">
        <f>IFERROR(ROUND(C97/D97,0),"")</f>
        <v/>
      </c>
      <c r="F97" s="2">
        <f>IF(D97="","",D97*$B$244)</f>
        <v/>
      </c>
      <c r="G97" s="1">
        <f>IF(F97="","",ROUND(F97*$B$246,0))</f>
        <v/>
      </c>
      <c r="H97" s="3">
        <f>IF(G97="","",ROUND(G97*10/1000,0))</f>
        <v/>
      </c>
      <c r="I97" s="3">
        <f>IF(G97="","",ROUND(G97*15/1000,0))</f>
        <v/>
      </c>
      <c r="J97" s="3">
        <f>IF(G97="","",ROUND(G97*20/1000,0))</f>
        <v/>
      </c>
      <c r="K97" s="1">
        <f>IF(F97="","",ROUND(F97*0.10,0))</f>
        <v/>
      </c>
      <c r="L97" s="3">
        <f>IF(K97="","",ROUND(K97*5/1000,0))</f>
        <v/>
      </c>
      <c r="M97" s="2">
        <f>IF(F97="","",ROUND(F97*$B$247,0))</f>
        <v/>
      </c>
      <c r="N97" s="1">
        <f>IF(M97="","",ROUND(M97*$B$248,0))</f>
        <v/>
      </c>
      <c r="O97">
        <f>IF(N97="","",ROUND(N97*$B$249,0))</f>
        <v/>
      </c>
      <c r="P97" s="3">
        <f>IF(O97="","",ROUND(O97*7.30,0))</f>
        <v/>
      </c>
      <c r="Q97" s="3">
        <f>IF(L97="","",L97+P97)</f>
        <v/>
      </c>
    </row>
    <row r="98">
      <c r="A98" s="1" t="inlineStr">
        <is>
          <t>Tier 3</t>
        </is>
      </c>
      <c r="B98" s="1" t="inlineStr">
        <is>
          <t>EC</t>
        </is>
      </c>
      <c r="C98" s="2" t="n">
        <v>3781</v>
      </c>
      <c r="D98" s="1" t="n">
        <v>155</v>
      </c>
      <c r="E98" s="1">
        <f>IFERROR(ROUND(C98/D98,0),"")</f>
        <v/>
      </c>
      <c r="F98" s="2">
        <f>IF(D98="","",D98*$B$244)</f>
        <v/>
      </c>
      <c r="G98" s="1">
        <f>IF(F98="","",ROUND(F98*$B$246,0))</f>
        <v/>
      </c>
      <c r="H98" s="3">
        <f>IF(G98="","",ROUND(G98*10/1000,0))</f>
        <v/>
      </c>
      <c r="I98" s="3">
        <f>IF(G98="","",ROUND(G98*15/1000,0))</f>
        <v/>
      </c>
      <c r="J98" s="3">
        <f>IF(G98="","",ROUND(G98*20/1000,0))</f>
        <v/>
      </c>
      <c r="K98" s="1">
        <f>IF(F98="","",ROUND(F98*0.10,0))</f>
        <v/>
      </c>
      <c r="L98" s="3">
        <f>IF(K98="","",ROUND(K98*5/1000,0))</f>
        <v/>
      </c>
      <c r="M98" s="2">
        <f>IF(F98="","",ROUND(F98*$B$247,0))</f>
        <v/>
      </c>
      <c r="N98" s="1">
        <f>IF(M98="","",ROUND(M98*$B$248,0))</f>
        <v/>
      </c>
      <c r="O98">
        <f>IF(N98="","",ROUND(N98*$B$249,0))</f>
        <v/>
      </c>
      <c r="P98" s="3">
        <f>IF(O98="","",ROUND(O98*7.30,0))</f>
        <v/>
      </c>
      <c r="Q98" s="3">
        <f>IF(L98="","",L98+P98)</f>
        <v/>
      </c>
    </row>
    <row r="99">
      <c r="A99" s="1" t="inlineStr">
        <is>
          <t>Tier 3</t>
        </is>
      </c>
      <c r="B99" s="1" t="inlineStr">
        <is>
          <t>LI</t>
        </is>
      </c>
      <c r="C99" s="1" t="n">
        <v>883</v>
      </c>
      <c r="D99" s="1" t="n">
        <v>139</v>
      </c>
      <c r="E99" s="1">
        <f>IFERROR(ROUND(C99/D99,0),"")</f>
        <v/>
      </c>
      <c r="F99" s="2">
        <f>IF(D99="","",D99*$B$244)</f>
        <v/>
      </c>
      <c r="G99" s="1">
        <f>IF(F99="","",ROUND(F99*$B$246,0))</f>
        <v/>
      </c>
      <c r="H99" s="3">
        <f>IF(G99="","",ROUND(G99*10/1000,0))</f>
        <v/>
      </c>
      <c r="I99" s="3">
        <f>IF(G99="","",ROUND(G99*15/1000,0))</f>
        <v/>
      </c>
      <c r="J99" s="3">
        <f>IF(G99="","",ROUND(G99*20/1000,0))</f>
        <v/>
      </c>
      <c r="K99" s="1">
        <f>IF(F99="","",ROUND(F99*0.10,0))</f>
        <v/>
      </c>
      <c r="L99" s="3">
        <f>IF(K99="","",ROUND(K99*5/1000,0))</f>
        <v/>
      </c>
      <c r="M99" s="2">
        <f>IF(F99="","",ROUND(F99*$B$247,0))</f>
        <v/>
      </c>
      <c r="N99">
        <f>IF(M99="","",ROUND(M99*$B$248,0))</f>
        <v/>
      </c>
      <c r="O99">
        <f>IF(N99="","",ROUND(N99*$B$249,0))</f>
        <v/>
      </c>
      <c r="P99" s="3">
        <f>IF(O99="","",ROUND(O99*7.30,0))</f>
        <v/>
      </c>
      <c r="Q99" s="3">
        <f>IF(L99="","",L99+P99)</f>
        <v/>
      </c>
    </row>
    <row r="100">
      <c r="A100" s="1" t="inlineStr">
        <is>
          <t>Tier 3</t>
        </is>
      </c>
      <c r="B100" s="1" t="inlineStr">
        <is>
          <t>BO</t>
        </is>
      </c>
      <c r="C100" s="2" t="n">
        <v>3274</v>
      </c>
      <c r="D100" s="1" t="n">
        <v>119</v>
      </c>
      <c r="E100" s="1">
        <f>IFERROR(ROUND(C100/D100,0),"")</f>
        <v/>
      </c>
      <c r="F100" s="2">
        <f>IF(D100="","",D100*$B$244)</f>
        <v/>
      </c>
      <c r="G100" s="1">
        <f>IF(F100="","",ROUND(F100*$B$246,0))</f>
        <v/>
      </c>
      <c r="H100" s="3">
        <f>IF(G100="","",ROUND(G100*10/1000,0))</f>
        <v/>
      </c>
      <c r="I100" s="3">
        <f>IF(G100="","",ROUND(G100*15/1000,0))</f>
        <v/>
      </c>
      <c r="J100" s="3">
        <f>IF(G100="","",ROUND(G100*20/1000,0))</f>
        <v/>
      </c>
      <c r="K100" s="1">
        <f>IF(F100="","",ROUND(F100*0.10,0))</f>
        <v/>
      </c>
      <c r="L100" s="3">
        <f>IF(K100="","",ROUND(K100*5/1000,0))</f>
        <v/>
      </c>
      <c r="M100" s="2">
        <f>IF(F100="","",ROUND(F100*$B$247,0))</f>
        <v/>
      </c>
      <c r="N100" s="1">
        <f>IF(M100="","",ROUND(M100*$B$248,0))</f>
        <v/>
      </c>
      <c r="O100">
        <f>IF(N100="","",ROUND(N100*$B$249,0))</f>
        <v/>
      </c>
      <c r="P100" s="3">
        <f>IF(O100="","",ROUND(O100*7.30,0))</f>
        <v/>
      </c>
      <c r="Q100" s="3">
        <f>IF(L100="","",L100+P100)</f>
        <v/>
      </c>
    </row>
    <row r="101">
      <c r="A101" s="1" t="inlineStr">
        <is>
          <t>Tier 3</t>
        </is>
      </c>
      <c r="B101" s="1" t="inlineStr">
        <is>
          <t>MO</t>
        </is>
      </c>
      <c r="C101" s="2" t="n">
        <v>1552</v>
      </c>
      <c r="D101" s="1" t="n">
        <v>107</v>
      </c>
      <c r="E101" s="1">
        <f>IFERROR(ROUND(C101/D101,0),"")</f>
        <v/>
      </c>
      <c r="F101" s="2">
        <f>IF(D101="","",D101*$B$244)</f>
        <v/>
      </c>
      <c r="G101" s="1">
        <f>IF(F101="","",ROUND(F101*$B$246,0))</f>
        <v/>
      </c>
      <c r="H101" s="3">
        <f>IF(G101="","",ROUND(G101*10/1000,0))</f>
        <v/>
      </c>
      <c r="I101" s="3">
        <f>IF(G101="","",ROUND(G101*15/1000,0))</f>
        <v/>
      </c>
      <c r="J101" s="3">
        <f>IF(G101="","",ROUND(G101*20/1000,0))</f>
        <v/>
      </c>
      <c r="K101" s="1">
        <f>IF(F101="","",ROUND(F101*0.10,0))</f>
        <v/>
      </c>
      <c r="L101" s="3">
        <f>IF(K101="","",ROUND(K101*5/1000,0))</f>
        <v/>
      </c>
      <c r="M101" s="2">
        <f>IF(F101="","",ROUND(F101*$B$247,0))</f>
        <v/>
      </c>
      <c r="N101">
        <f>IF(M101="","",ROUND(M101*$B$248,0))</f>
        <v/>
      </c>
      <c r="O101">
        <f>IF(N101="","",ROUND(N101*$B$249,0))</f>
        <v/>
      </c>
      <c r="P101" s="3">
        <f>IF(O101="","",ROUND(O101*7.30,0))</f>
        <v/>
      </c>
      <c r="Q101" s="3">
        <f>IF(L101="","",L101+P101)</f>
        <v/>
      </c>
    </row>
    <row r="102">
      <c r="A102" s="1" t="inlineStr">
        <is>
          <t>Tier 3</t>
        </is>
      </c>
      <c r="B102" s="1" t="inlineStr">
        <is>
          <t>XX</t>
        </is>
      </c>
      <c r="C102" s="1" t="n">
        <v>268</v>
      </c>
      <c r="D102" s="1" t="n">
        <v>107</v>
      </c>
      <c r="E102" s="1">
        <f>IFERROR(ROUND(C102/D102,0),"")</f>
        <v/>
      </c>
      <c r="F102" s="2">
        <f>IF(D102="","",D102*$B$244)</f>
        <v/>
      </c>
      <c r="G102" s="1">
        <f>IF(F102="","",ROUND(F102*$B$246,0))</f>
        <v/>
      </c>
      <c r="H102" s="3">
        <f>IF(G102="","",ROUND(G102*10/1000,0))</f>
        <v/>
      </c>
      <c r="I102" s="3">
        <f>IF(G102="","",ROUND(G102*15/1000,0))</f>
        <v/>
      </c>
      <c r="J102" s="3">
        <f>IF(G102="","",ROUND(G102*20/1000,0))</f>
        <v/>
      </c>
      <c r="K102" s="1">
        <f>IF(F102="","",ROUND(F102*0.10,0))</f>
        <v/>
      </c>
      <c r="L102" s="3">
        <f>IF(K102="","",ROUND(K102*5/1000,0))</f>
        <v/>
      </c>
      <c r="M102" s="2">
        <f>IF(F102="","",ROUND(F102*$B$247,0))</f>
        <v/>
      </c>
      <c r="N102">
        <f>IF(M102="","",ROUND(M102*$B$248,0))</f>
        <v/>
      </c>
      <c r="O102">
        <f>IF(N102="","",ROUND(N102*$B$249,0))</f>
        <v/>
      </c>
      <c r="P102" s="3">
        <f>IF(O102="","",ROUND(O102*7.30,0))</f>
        <v/>
      </c>
      <c r="Q102" s="3">
        <f>IF(L102="","",L102+P102)</f>
        <v/>
      </c>
    </row>
    <row r="103">
      <c r="A103" s="1" t="inlineStr">
        <is>
          <t>Tier 3</t>
        </is>
      </c>
      <c r="B103" s="1" t="inlineStr">
        <is>
          <t>DO</t>
        </is>
      </c>
      <c r="C103" s="2" t="n">
        <v>2934</v>
      </c>
      <c r="D103" s="1" t="n">
        <v>94</v>
      </c>
      <c r="E103" s="1">
        <f>IFERROR(ROUND(C103/D103,0),"")</f>
        <v/>
      </c>
      <c r="F103" s="2">
        <f>IF(D103="","",D103*$B$244)</f>
        <v/>
      </c>
      <c r="G103" s="1">
        <f>IF(F103="","",ROUND(F103*$B$246,0))</f>
        <v/>
      </c>
      <c r="H103" s="3">
        <f>IF(G103="","",ROUND(G103*10/1000,0))</f>
        <v/>
      </c>
      <c r="I103" s="3">
        <f>IF(G103="","",ROUND(G103*15/1000,0))</f>
        <v/>
      </c>
      <c r="J103" s="3">
        <f>IF(G103="","",ROUND(G103*20/1000,0))</f>
        <v/>
      </c>
      <c r="K103" s="1">
        <f>IF(F103="","",ROUND(F103*0.10,0))</f>
        <v/>
      </c>
      <c r="L103" s="3">
        <f>IF(K103="","",ROUND(K103*5/1000,0))</f>
        <v/>
      </c>
      <c r="M103" s="2">
        <f>IF(F103="","",ROUND(F103*$B$247,0))</f>
        <v/>
      </c>
      <c r="N103" s="1">
        <f>IF(M103="","",ROUND(M103*$B$248,0))</f>
        <v/>
      </c>
      <c r="O103">
        <f>IF(N103="","",ROUND(N103*$B$249,0))</f>
        <v/>
      </c>
      <c r="P103" s="3">
        <f>IF(O103="","",ROUND(O103*7.30,0))</f>
        <v/>
      </c>
      <c r="Q103" s="3">
        <f>IF(L103="","",L103+P103)</f>
        <v/>
      </c>
    </row>
    <row r="104">
      <c r="A104" s="1" t="inlineStr">
        <is>
          <t>Tier 3</t>
        </is>
      </c>
      <c r="B104" s="1" t="inlineStr">
        <is>
          <t>BH</t>
        </is>
      </c>
      <c r="C104" s="2" t="n">
        <v>2496</v>
      </c>
      <c r="D104" s="1" t="n">
        <v>94</v>
      </c>
      <c r="E104" s="1">
        <f>IFERROR(ROUND(C104/D104,0),"")</f>
        <v/>
      </c>
      <c r="F104" s="2">
        <f>IF(D104="","",D104*$B$244)</f>
        <v/>
      </c>
      <c r="G104" s="1">
        <f>IF(F104="","",ROUND(F104*$B$246,0))</f>
        <v/>
      </c>
      <c r="H104" s="3">
        <f>IF(G104="","",ROUND(G104*10/1000,0))</f>
        <v/>
      </c>
      <c r="I104" s="3">
        <f>IF(G104="","",ROUND(G104*15/1000,0))</f>
        <v/>
      </c>
      <c r="J104" s="3">
        <f>IF(G104="","",ROUND(G104*20/1000,0))</f>
        <v/>
      </c>
      <c r="K104" s="1">
        <f>IF(F104="","",ROUND(F104*0.10,0))</f>
        <v/>
      </c>
      <c r="L104" s="3">
        <f>IF(K104="","",ROUND(K104*5/1000,0))</f>
        <v/>
      </c>
      <c r="M104" s="2">
        <f>IF(F104="","",ROUND(F104*$B$247,0))</f>
        <v/>
      </c>
      <c r="N104" s="1">
        <f>IF(M104="","",ROUND(M104*$B$248,0))</f>
        <v/>
      </c>
      <c r="O104">
        <f>IF(N104="","",ROUND(N104*$B$249,0))</f>
        <v/>
      </c>
      <c r="P104" s="3">
        <f>IF(O104="","",ROUND(O104*7.30,0))</f>
        <v/>
      </c>
      <c r="Q104" s="3">
        <f>IF(L104="","",L104+P104)</f>
        <v/>
      </c>
    </row>
    <row r="105">
      <c r="A105" s="1" t="inlineStr">
        <is>
          <t>Tier 3</t>
        </is>
      </c>
      <c r="B105" s="1" t="inlineStr">
        <is>
          <t>CR</t>
        </is>
      </c>
      <c r="C105" s="2" t="n">
        <v>1958</v>
      </c>
      <c r="D105" s="1" t="n">
        <v>91</v>
      </c>
      <c r="E105" s="1">
        <f>IFERROR(ROUND(C105/D105,0),"")</f>
        <v/>
      </c>
      <c r="F105" s="2">
        <f>IF(D105="","",D105*$B$244)</f>
        <v/>
      </c>
      <c r="G105" s="1">
        <f>IF(F105="","",ROUND(F105*$B$246,0))</f>
        <v/>
      </c>
      <c r="H105" s="3">
        <f>IF(G105="","",ROUND(G105*10/1000,0))</f>
        <v/>
      </c>
      <c r="I105" s="3">
        <f>IF(G105="","",ROUND(G105*15/1000,0))</f>
        <v/>
      </c>
      <c r="J105" s="3">
        <f>IF(G105="","",ROUND(G105*20/1000,0))</f>
        <v/>
      </c>
      <c r="K105" s="1">
        <f>IF(F105="","",ROUND(F105*0.10,0))</f>
        <v/>
      </c>
      <c r="L105" s="3">
        <f>IF(K105="","",ROUND(K105*5/1000,0))</f>
        <v/>
      </c>
      <c r="M105" s="2">
        <f>IF(F105="","",ROUND(F105*$B$247,0))</f>
        <v/>
      </c>
      <c r="N105">
        <f>IF(M105="","",ROUND(M105*$B$248,0))</f>
        <v/>
      </c>
      <c r="O105">
        <f>IF(N105="","",ROUND(N105*$B$249,0))</f>
        <v/>
      </c>
      <c r="P105" s="3">
        <f>IF(O105="","",ROUND(O105*7.30,0))</f>
        <v/>
      </c>
      <c r="Q105" s="3">
        <f>IF(L105="","",L105+P105)</f>
        <v/>
      </c>
    </row>
    <row r="106">
      <c r="A106" s="1" t="inlineStr">
        <is>
          <t>Tier 3</t>
        </is>
      </c>
      <c r="B106" s="1" t="inlineStr">
        <is>
          <t>GT</t>
        </is>
      </c>
      <c r="C106" s="2" t="n">
        <v>2511</v>
      </c>
      <c r="D106" s="1" t="n">
        <v>90</v>
      </c>
      <c r="E106" s="1">
        <f>IFERROR(ROUND(C106/D106,0),"")</f>
        <v/>
      </c>
      <c r="F106" s="2">
        <f>IF(D106="","",D106*$B$244)</f>
        <v/>
      </c>
      <c r="G106" s="1">
        <f>IF(F106="","",ROUND(F106*$B$246,0))</f>
        <v/>
      </c>
      <c r="H106" s="3">
        <f>IF(G106="","",ROUND(G106*10/1000,0))</f>
        <v/>
      </c>
      <c r="I106" s="3">
        <f>IF(G106="","",ROUND(G106*15/1000,0))</f>
        <v/>
      </c>
      <c r="J106" s="3">
        <f>IF(G106="","",ROUND(G106*20/1000,0))</f>
        <v/>
      </c>
      <c r="K106" s="1">
        <f>IF(F106="","",ROUND(F106*0.10,0))</f>
        <v/>
      </c>
      <c r="L106" s="3">
        <f>IF(K106="","",ROUND(K106*5/1000,0))</f>
        <v/>
      </c>
      <c r="M106" s="2">
        <f>IF(F106="","",ROUND(F106*$B$247,0))</f>
        <v/>
      </c>
      <c r="N106" s="1">
        <f>IF(M106="","",ROUND(M106*$B$248,0))</f>
        <v/>
      </c>
      <c r="O106">
        <f>IF(N106="","",ROUND(N106*$B$249,0))</f>
        <v/>
      </c>
      <c r="P106" s="3">
        <f>IF(O106="","",ROUND(O106*7.30,0))</f>
        <v/>
      </c>
      <c r="Q106" s="3">
        <f>IF(L106="","",L106+P106)</f>
        <v/>
      </c>
    </row>
    <row r="107">
      <c r="A107" s="1" t="inlineStr">
        <is>
          <t>Tier 3</t>
        </is>
      </c>
      <c r="B107" s="1" t="inlineStr">
        <is>
          <t>PA</t>
        </is>
      </c>
      <c r="C107" s="2" t="n">
        <v>2093</v>
      </c>
      <c r="D107" s="1" t="n">
        <v>90</v>
      </c>
      <c r="E107" s="1">
        <f>IFERROR(ROUND(C107/D107,0),"")</f>
        <v/>
      </c>
      <c r="F107" s="2">
        <f>IF(D107="","",D107*$B$244)</f>
        <v/>
      </c>
      <c r="G107" s="1">
        <f>IF(F107="","",ROUND(F107*$B$246,0))</f>
        <v/>
      </c>
      <c r="H107" s="3">
        <f>IF(G107="","",ROUND(G107*10/1000,0))</f>
        <v/>
      </c>
      <c r="I107" s="3">
        <f>IF(G107="","",ROUND(G107*15/1000,0))</f>
        <v/>
      </c>
      <c r="J107" s="3">
        <f>IF(G107="","",ROUND(G107*20/1000,0))</f>
        <v/>
      </c>
      <c r="K107" s="1">
        <f>IF(F107="","",ROUND(F107*0.10,0))</f>
        <v/>
      </c>
      <c r="L107" s="3">
        <f>IF(K107="","",ROUND(K107*5/1000,0))</f>
        <v/>
      </c>
      <c r="M107" s="2">
        <f>IF(F107="","",ROUND(F107*$B$247,0))</f>
        <v/>
      </c>
      <c r="N107">
        <f>IF(M107="","",ROUND(M107*$B$248,0))</f>
        <v/>
      </c>
      <c r="O107">
        <f>IF(N107="","",ROUND(N107*$B$249,0))</f>
        <v/>
      </c>
      <c r="P107" s="3">
        <f>IF(O107="","",ROUND(O107*7.30,0))</f>
        <v/>
      </c>
      <c r="Q107" s="3">
        <f>IF(L107="","",L107+P107)</f>
        <v/>
      </c>
    </row>
    <row r="108">
      <c r="A108" s="1" t="inlineStr">
        <is>
          <t>Tier 3</t>
        </is>
      </c>
      <c r="B108" s="1" t="inlineStr">
        <is>
          <t>LK</t>
        </is>
      </c>
      <c r="C108" s="2" t="n">
        <v>2969</v>
      </c>
      <c r="D108" s="1" t="n">
        <v>88</v>
      </c>
      <c r="E108" s="1">
        <f>IFERROR(ROUND(C108/D108,0),"")</f>
        <v/>
      </c>
      <c r="F108" s="2">
        <f>IF(D108="","",D108*$B$244)</f>
        <v/>
      </c>
      <c r="G108" s="1">
        <f>IF(F108="","",ROUND(F108*$B$246,0))</f>
        <v/>
      </c>
      <c r="H108" s="3">
        <f>IF(G108="","",ROUND(G108*10/1000,0))</f>
        <v/>
      </c>
      <c r="I108" s="3">
        <f>IF(G108="","",ROUND(G108*15/1000,0))</f>
        <v/>
      </c>
      <c r="J108" s="3">
        <f>IF(G108="","",ROUND(G108*20/1000,0))</f>
        <v/>
      </c>
      <c r="K108" s="1">
        <f>IF(F108="","",ROUND(F108*0.10,0))</f>
        <v/>
      </c>
      <c r="L108" s="3">
        <f>IF(K108="","",ROUND(K108*5/1000,0))</f>
        <v/>
      </c>
      <c r="M108" s="2">
        <f>IF(F108="","",ROUND(F108*$B$247,0))</f>
        <v/>
      </c>
      <c r="N108" s="1">
        <f>IF(M108="","",ROUND(M108*$B$248,0))</f>
        <v/>
      </c>
      <c r="O108">
        <f>IF(N108="","",ROUND(N108*$B$249,0))</f>
        <v/>
      </c>
      <c r="P108" s="3">
        <f>IF(O108="","",ROUND(O108*7.30,0))</f>
        <v/>
      </c>
      <c r="Q108" s="3">
        <f>IF(L108="","",L108+P108)</f>
        <v/>
      </c>
    </row>
    <row r="109">
      <c r="A109" s="1" t="inlineStr">
        <is>
          <t>Tier 3</t>
        </is>
      </c>
      <c r="B109" s="1" t="inlineStr">
        <is>
          <t>NP</t>
        </is>
      </c>
      <c r="C109" s="2" t="n">
        <v>1506</v>
      </c>
      <c r="D109" s="1" t="n">
        <v>74</v>
      </c>
      <c r="E109" s="1">
        <f>IFERROR(ROUND(C109/D109,0),"")</f>
        <v/>
      </c>
      <c r="F109" s="2">
        <f>IF(D109="","",D109*$B$244)</f>
        <v/>
      </c>
      <c r="G109" s="1">
        <f>IF(F109="","",ROUND(F109*$B$246,0))</f>
        <v/>
      </c>
      <c r="H109" s="3">
        <f>IF(G109="","",ROUND(G109*10/1000,0))</f>
        <v/>
      </c>
      <c r="I109" s="3">
        <f>IF(G109="","",ROUND(G109*15/1000,0))</f>
        <v/>
      </c>
      <c r="J109" s="3">
        <f>IF(G109="","",ROUND(G109*20/1000,0))</f>
        <v/>
      </c>
      <c r="K109" s="1">
        <f>IF(F109="","",ROUND(F109*0.10,0))</f>
        <v/>
      </c>
      <c r="L109" s="3">
        <f>IF(K109="","",ROUND(K109*5/1000,0))</f>
        <v/>
      </c>
      <c r="M109" s="2">
        <f>IF(F109="","",ROUND(F109*$B$247,0))</f>
        <v/>
      </c>
      <c r="N109">
        <f>IF(M109="","",ROUND(M109*$B$248,0))</f>
        <v/>
      </c>
      <c r="O109">
        <f>IF(N109="","",ROUND(N109*$B$249,0))</f>
        <v/>
      </c>
      <c r="P109" s="3">
        <f>IF(O109="","",ROUND(O109*7.30,0))</f>
        <v/>
      </c>
      <c r="Q109" s="3">
        <f>IF(L109="","",L109+P109)</f>
        <v/>
      </c>
    </row>
    <row r="110">
      <c r="A110" s="1" t="inlineStr">
        <is>
          <t>Tier 3</t>
        </is>
      </c>
      <c r="B110" s="1" t="inlineStr">
        <is>
          <t>LY</t>
        </is>
      </c>
      <c r="C110" s="2" t="n">
        <v>2966</v>
      </c>
      <c r="D110" s="1" t="n">
        <v>66</v>
      </c>
      <c r="E110" s="1">
        <f>IFERROR(ROUND(C110/D110,0),"")</f>
        <v/>
      </c>
      <c r="F110" s="2">
        <f>IF(D110="","",D110*$B$244)</f>
        <v/>
      </c>
      <c r="G110" s="1">
        <f>IF(F110="","",ROUND(F110*$B$246,0))</f>
        <v/>
      </c>
      <c r="H110" s="3">
        <f>IF(G110="","",ROUND(G110*10/1000,0))</f>
        <v/>
      </c>
      <c r="I110" s="3">
        <f>IF(G110="","",ROUND(G110*15/1000,0))</f>
        <v/>
      </c>
      <c r="J110" s="3">
        <f>IF(G110="","",ROUND(G110*20/1000,0))</f>
        <v/>
      </c>
      <c r="K110" s="1">
        <f>IF(F110="","",ROUND(F110*0.10,0))</f>
        <v/>
      </c>
      <c r="L110" s="3">
        <f>IF(K110="","",ROUND(K110*5/1000,0))</f>
        <v/>
      </c>
      <c r="M110" s="2">
        <f>IF(F110="","",ROUND(F110*$B$247,0))</f>
        <v/>
      </c>
      <c r="N110" s="1">
        <f>IF(M110="","",ROUND(M110*$B$248,0))</f>
        <v/>
      </c>
      <c r="O110">
        <f>IF(N110="","",ROUND(N110*$B$249,0))</f>
        <v/>
      </c>
      <c r="P110" s="3">
        <f>IF(O110="","",ROUND(O110*7.30,0))</f>
        <v/>
      </c>
      <c r="Q110" s="3">
        <f>IF(L110="","",L110+P110)</f>
        <v/>
      </c>
    </row>
    <row r="111">
      <c r="A111" s="1" t="inlineStr">
        <is>
          <t>Tier 3</t>
        </is>
      </c>
      <c r="B111" s="1" t="inlineStr">
        <is>
          <t>AX</t>
        </is>
      </c>
      <c r="C111" s="2" t="n">
        <v>2346</v>
      </c>
      <c r="D111" s="1" t="n">
        <v>66</v>
      </c>
      <c r="E111" s="1">
        <f>IFERROR(ROUND(C111/D111,0),"")</f>
        <v/>
      </c>
      <c r="F111" s="2">
        <f>IF(D111="","",D111*$B$244)</f>
        <v/>
      </c>
      <c r="G111" s="1">
        <f>IF(F111="","",ROUND(F111*$B$246,0))</f>
        <v/>
      </c>
      <c r="H111" s="3">
        <f>IF(G111="","",ROUND(G111*10/1000,0))</f>
        <v/>
      </c>
      <c r="I111" s="3">
        <f>IF(G111="","",ROUND(G111*15/1000,0))</f>
        <v/>
      </c>
      <c r="J111" s="3">
        <f>IF(G111="","",ROUND(G111*20/1000,0))</f>
        <v/>
      </c>
      <c r="K111" s="1">
        <f>IF(F111="","",ROUND(F111*0.10,0))</f>
        <v/>
      </c>
      <c r="L111" s="3">
        <f>IF(K111="","",ROUND(K111*5/1000,0))</f>
        <v/>
      </c>
      <c r="M111" s="2">
        <f>IF(F111="","",ROUND(F111*$B$247,0))</f>
        <v/>
      </c>
      <c r="N111" s="1">
        <f>IF(M111="","",ROUND(M111*$B$248,0))</f>
        <v/>
      </c>
      <c r="O111">
        <f>IF(N111="","",ROUND(N111*$B$249,0))</f>
        <v/>
      </c>
      <c r="P111" s="3">
        <f>IF(O111="","",ROUND(O111*7.30,0))</f>
        <v/>
      </c>
      <c r="Q111" s="3">
        <f>IF(L111="","",L111+P111)</f>
        <v/>
      </c>
    </row>
    <row r="112">
      <c r="A112" s="1" t="inlineStr">
        <is>
          <t>Tier 3</t>
        </is>
      </c>
      <c r="B112" s="1" t="inlineStr">
        <is>
          <t>FO</t>
        </is>
      </c>
      <c r="C112" s="1" t="n">
        <v>709</v>
      </c>
      <c r="D112" s="1" t="n">
        <v>59</v>
      </c>
      <c r="E112" s="1">
        <f>IFERROR(ROUND(C112/D112,0),"")</f>
        <v/>
      </c>
      <c r="F112" s="2">
        <f>IF(D112="","",D112*$B$244)</f>
        <v/>
      </c>
      <c r="G112" s="1">
        <f>IF(F112="","",ROUND(F112*$B$246,0))</f>
        <v/>
      </c>
      <c r="H112" s="3">
        <f>IF(G112="","",ROUND(G112*10/1000,0))</f>
        <v/>
      </c>
      <c r="I112" s="3">
        <f>IF(G112="","",ROUND(G112*15/1000,0))</f>
        <v/>
      </c>
      <c r="J112" s="3">
        <f>IF(G112="","",ROUND(G112*20/1000,0))</f>
        <v/>
      </c>
      <c r="K112" s="1">
        <f>IF(F112="","",ROUND(F112*0.10,0))</f>
        <v/>
      </c>
      <c r="L112" s="3">
        <f>IF(K112="","",ROUND(K112*5/1000,0))</f>
        <v/>
      </c>
      <c r="M112" s="2">
        <f>IF(F112="","",ROUND(F112*$B$247,0))</f>
        <v/>
      </c>
      <c r="N112">
        <f>IF(M112="","",ROUND(M112*$B$248,0))</f>
        <v/>
      </c>
      <c r="O112">
        <f>IF(N112="","",ROUND(N112*$B$249,0))</f>
        <v/>
      </c>
      <c r="P112" s="3">
        <f>IF(O112="","",ROUND(O112*7.30,0))</f>
        <v/>
      </c>
      <c r="Q112" s="3">
        <f>IF(L112="","",L112+P112)</f>
        <v/>
      </c>
    </row>
    <row r="113">
      <c r="A113" s="1" t="inlineStr">
        <is>
          <t>Tier 3</t>
        </is>
      </c>
      <c r="B113" s="1" t="inlineStr">
        <is>
          <t>JE</t>
        </is>
      </c>
      <c r="C113" s="1" t="n">
        <v>699</v>
      </c>
      <c r="D113" s="1" t="n">
        <v>39</v>
      </c>
      <c r="E113" s="1">
        <f>IFERROR(ROUND(C113/D113,0),"")</f>
        <v/>
      </c>
      <c r="F113" s="2">
        <f>IF(D113="","",D113*$B$244)</f>
        <v/>
      </c>
      <c r="G113" s="1">
        <f>IF(F113="","",ROUND(F113*$B$246,0))</f>
        <v/>
      </c>
      <c r="H113" s="3">
        <f>IF(G113="","",ROUND(G113*10/1000,0))</f>
        <v/>
      </c>
      <c r="I113" s="3">
        <f>IF(G113="","",ROUND(G113*15/1000,0))</f>
        <v/>
      </c>
      <c r="J113" s="3">
        <f>IF(G113="","",ROUND(G113*20/1000,0))</f>
        <v/>
      </c>
      <c r="K113" s="1">
        <f>IF(F113="","",ROUND(F113*0.10,0))</f>
        <v/>
      </c>
      <c r="L113" s="3">
        <f>IF(K113="","",ROUND(K113*5/1000,0))</f>
        <v/>
      </c>
      <c r="M113" s="1">
        <f>IF(F113="","",ROUND(F113*$B$247,0))</f>
        <v/>
      </c>
      <c r="N113">
        <f>IF(M113="","",ROUND(M113*$B$248,0))</f>
        <v/>
      </c>
      <c r="O113">
        <f>IF(N113="","",ROUND(N113*$B$249,0))</f>
        <v/>
      </c>
      <c r="P113" s="3">
        <f>IF(O113="","",ROUND(O113*7.30,0))</f>
        <v/>
      </c>
      <c r="Q113" s="3">
        <f>IF(L113="","",L113+P113)</f>
        <v/>
      </c>
    </row>
    <row r="114">
      <c r="A114" s="1" t="inlineStr">
        <is>
          <t>Tier 3</t>
        </is>
      </c>
      <c r="B114" s="1" t="inlineStr">
        <is>
          <t>PR</t>
        </is>
      </c>
      <c r="C114" s="1" t="n">
        <v>548</v>
      </c>
      <c r="D114" s="1" t="n">
        <v>31</v>
      </c>
      <c r="E114" s="1">
        <f>IFERROR(ROUND(C114/D114,0),"")</f>
        <v/>
      </c>
      <c r="F114" s="1">
        <f>IF(D114="","",D114*$B$244)</f>
        <v/>
      </c>
      <c r="G114" s="1">
        <f>IF(F114="","",ROUND(F114*$B$246,0))</f>
        <v/>
      </c>
      <c r="H114" s="3">
        <f>IF(G114="","",ROUND(G114*10/1000,0))</f>
        <v/>
      </c>
      <c r="I114" s="3">
        <f>IF(G114="","",ROUND(G114*15/1000,0))</f>
        <v/>
      </c>
      <c r="J114" s="3">
        <f>IF(G114="","",ROUND(G114*20/1000,0))</f>
        <v/>
      </c>
      <c r="K114" s="1">
        <f>IF(F114="","",ROUND(F114*0.10,0))</f>
        <v/>
      </c>
      <c r="L114" s="3">
        <f>IF(K114="","",ROUND(K114*5/1000,0))</f>
        <v/>
      </c>
      <c r="M114" s="1">
        <f>IF(F114="","",ROUND(F114*$B$247,0))</f>
        <v/>
      </c>
      <c r="N114">
        <f>IF(M114="","",ROUND(M114*$B$248,0))</f>
        <v/>
      </c>
      <c r="O114">
        <f>IF(N114="","",ROUND(N114*$B$249,0))</f>
        <v/>
      </c>
      <c r="P114" s="3">
        <f>IF(O114="","",ROUND(O114*7.30,0))</f>
        <v/>
      </c>
      <c r="Q114" s="3">
        <f>IF(L114="","",L114+P114)</f>
        <v/>
      </c>
    </row>
    <row r="115">
      <c r="A115" s="1" t="inlineStr">
        <is>
          <t>Tier 3</t>
        </is>
      </c>
      <c r="B115" s="1" t="inlineStr">
        <is>
          <t>AD</t>
        </is>
      </c>
      <c r="C115" s="1" t="n">
        <v>563</v>
      </c>
      <c r="D115" s="1" t="n">
        <v>29</v>
      </c>
      <c r="E115" s="1">
        <f>IFERROR(ROUND(C115/D115,0),"")</f>
        <v/>
      </c>
      <c r="F115" s="1">
        <f>IF(D115="","",D115*$B$244)</f>
        <v/>
      </c>
      <c r="G115" s="1">
        <f>IF(F115="","",ROUND(F115*$B$246,0))</f>
        <v/>
      </c>
      <c r="H115" s="3">
        <f>IF(G115="","",ROUND(G115*10/1000,0))</f>
        <v/>
      </c>
      <c r="I115" s="3">
        <f>IF(G115="","",ROUND(G115*15/1000,0))</f>
        <v/>
      </c>
      <c r="J115" s="3">
        <f>IF(G115="","",ROUND(G115*20/1000,0))</f>
        <v/>
      </c>
      <c r="K115" s="1">
        <f>IF(F115="","",ROUND(F115*0.10,0))</f>
        <v/>
      </c>
      <c r="L115" s="3">
        <f>IF(K115="","",ROUND(K115*5/1000,0))</f>
        <v/>
      </c>
      <c r="M115" s="1">
        <f>IF(F115="","",ROUND(F115*$B$247,0))</f>
        <v/>
      </c>
      <c r="N115">
        <f>IF(M115="","",ROUND(M115*$B$248,0))</f>
        <v/>
      </c>
      <c r="O115">
        <f>IF(N115="","",ROUND(N115*$B$249,0))</f>
        <v/>
      </c>
      <c r="P115" s="3">
        <f>IF(O115="","",ROUND(O115*7.30,0))</f>
        <v/>
      </c>
      <c r="Q115" s="3">
        <f>IF(L115="","",L115+P115)</f>
        <v/>
      </c>
    </row>
    <row r="116">
      <c r="A116" s="1" t="inlineStr">
        <is>
          <t>Tier 3</t>
        </is>
      </c>
      <c r="B116" s="1" t="inlineStr">
        <is>
          <t>GL</t>
        </is>
      </c>
      <c r="C116" s="1" t="n">
        <v>300</v>
      </c>
      <c r="D116" s="1" t="n">
        <v>28</v>
      </c>
      <c r="E116" s="1">
        <f>IFERROR(ROUND(C116/D116,0),"")</f>
        <v/>
      </c>
      <c r="F116" s="1">
        <f>IF(D116="","",D116*$B$244)</f>
        <v/>
      </c>
      <c r="G116" s="1">
        <f>IF(F116="","",ROUND(F116*$B$246,0))</f>
        <v/>
      </c>
      <c r="H116" s="3">
        <f>IF(G116="","",ROUND(G116*10/1000,0))</f>
        <v/>
      </c>
      <c r="I116" s="3">
        <f>IF(G116="","",ROUND(G116*15/1000,0))</f>
        <v/>
      </c>
      <c r="J116" s="3">
        <f>IF(G116="","",ROUND(G116*20/1000,0))</f>
        <v/>
      </c>
      <c r="K116" s="1">
        <f>IF(F116="","",ROUND(F116*0.10,0))</f>
        <v/>
      </c>
      <c r="L116" s="3">
        <f>IF(K116="","",ROUND(K116*5/1000,0))</f>
        <v/>
      </c>
      <c r="M116" s="1">
        <f>IF(F116="","",ROUND(F116*$B$247,0))</f>
        <v/>
      </c>
      <c r="N116">
        <f>IF(M116="","",ROUND(M116*$B$248,0))</f>
        <v/>
      </c>
      <c r="O116">
        <f>IF(N116="","",ROUND(N116*$B$249,0))</f>
        <v/>
      </c>
      <c r="P116" s="3">
        <f>IF(O116="","",ROUND(O116*7.30,0))</f>
        <v/>
      </c>
      <c r="Q116" s="3">
        <f>IF(L116="","",L116+P116)</f>
        <v/>
      </c>
    </row>
    <row r="117">
      <c r="A117" s="1" t="inlineStr">
        <is>
          <t>Tier 3</t>
        </is>
      </c>
      <c r="B117" s="1" t="inlineStr">
        <is>
          <t>MU</t>
        </is>
      </c>
      <c r="C117" s="1" t="n">
        <v>529</v>
      </c>
      <c r="D117" s="1" t="n">
        <v>26</v>
      </c>
      <c r="E117" s="1">
        <f>IFERROR(ROUND(C117/D117,0),"")</f>
        <v/>
      </c>
      <c r="F117" s="1">
        <f>IF(D117="","",D117*$B$244)</f>
        <v/>
      </c>
      <c r="G117" s="1">
        <f>IF(F117="","",ROUND(F117*$B$246,0))</f>
        <v/>
      </c>
      <c r="H117" s="3">
        <f>IF(G117="","",ROUND(G117*10/1000,0))</f>
        <v/>
      </c>
      <c r="I117" s="3">
        <f>IF(G117="","",ROUND(G117*15/1000,0))</f>
        <v/>
      </c>
      <c r="J117" s="3">
        <f>IF(G117="","",ROUND(G117*20/1000,0))</f>
        <v/>
      </c>
      <c r="K117" s="1">
        <f>IF(F117="","",ROUND(F117*0.10,0))</f>
        <v/>
      </c>
      <c r="L117" s="3">
        <f>IF(K117="","",ROUND(K117*5/1000,0))</f>
        <v/>
      </c>
      <c r="M117" s="1">
        <f>IF(F117="","",ROUND(F117*$B$247,0))</f>
        <v/>
      </c>
      <c r="N117">
        <f>IF(M117="","",ROUND(M117*$B$248,0))</f>
        <v/>
      </c>
      <c r="O117">
        <f>IF(N117="","",ROUND(N117*$B$249,0))</f>
        <v/>
      </c>
      <c r="P117" s="3">
        <f>IF(O117="","",ROUND(O117*7.30,0))</f>
        <v/>
      </c>
      <c r="Q117" s="3">
        <f>IF(L117="","",L117+P117)</f>
        <v/>
      </c>
    </row>
    <row r="118">
      <c r="A118" s="1" t="inlineStr">
        <is>
          <t>Tier 3</t>
        </is>
      </c>
      <c r="B118" s="1" t="inlineStr">
        <is>
          <t>SV</t>
        </is>
      </c>
      <c r="C118" s="1" t="n">
        <v>467</v>
      </c>
      <c r="D118" s="1" t="n">
        <v>26</v>
      </c>
      <c r="E118" s="1">
        <f>IFERROR(ROUND(C118/D118,0),"")</f>
        <v/>
      </c>
      <c r="F118" s="1">
        <f>IF(D118="","",D118*$B$244)</f>
        <v/>
      </c>
      <c r="G118" s="1">
        <f>IF(F118="","",ROUND(F118*$B$246,0))</f>
        <v/>
      </c>
      <c r="H118" s="3">
        <f>IF(G118="","",ROUND(G118*10/1000,0))</f>
        <v/>
      </c>
      <c r="I118" s="3">
        <f>IF(G118="","",ROUND(G118*15/1000,0))</f>
        <v/>
      </c>
      <c r="J118" s="3">
        <f>IF(G118="","",ROUND(G118*20/1000,0))</f>
        <v/>
      </c>
      <c r="K118" s="1">
        <f>IF(F118="","",ROUND(F118*0.10,0))</f>
        <v/>
      </c>
      <c r="L118" s="3">
        <f>IF(K118="","",ROUND(K118*5/1000,0))</f>
        <v/>
      </c>
      <c r="M118" s="1">
        <f>IF(F118="","",ROUND(F118*$B$247,0))</f>
        <v/>
      </c>
      <c r="N118">
        <f>IF(M118="","",ROUND(M118*$B$248,0))</f>
        <v/>
      </c>
      <c r="O118">
        <f>IF(N118="","",ROUND(N118*$B$249,0))</f>
        <v/>
      </c>
      <c r="P118" s="3">
        <f>IF(O118="","",ROUND(O118*7.30,0))</f>
        <v/>
      </c>
      <c r="Q118" s="3">
        <f>IF(L118="","",L118+P118)</f>
        <v/>
      </c>
    </row>
    <row r="119">
      <c r="A119" s="1" t="inlineStr">
        <is>
          <t>Tier 3</t>
        </is>
      </c>
      <c r="B119" s="1" t="inlineStr">
        <is>
          <t>RE</t>
        </is>
      </c>
      <c r="C119" s="1" t="n">
        <v>476</v>
      </c>
      <c r="D119" s="1" t="n">
        <v>25</v>
      </c>
      <c r="E119" s="1">
        <f>IFERROR(ROUND(C119/D119,0),"")</f>
        <v/>
      </c>
      <c r="F119" s="1">
        <f>IF(D119="","",D119*$B$244)</f>
        <v/>
      </c>
      <c r="G119" s="1">
        <f>IF(F119="","",ROUND(F119*$B$246,0))</f>
        <v/>
      </c>
      <c r="H119" s="3">
        <f>IF(G119="","",ROUND(G119*10/1000,0))</f>
        <v/>
      </c>
      <c r="I119" s="3">
        <f>IF(G119="","",ROUND(G119*15/1000,0))</f>
        <v/>
      </c>
      <c r="J119" s="3">
        <f>IF(G119="","",ROUND(G119*20/1000,0))</f>
        <v/>
      </c>
      <c r="K119" s="1">
        <f>IF(F119="","",ROUND(F119*0.10,0))</f>
        <v/>
      </c>
      <c r="L119" s="3">
        <f>IF(K119="","",ROUND(K119*5/1000,0))</f>
        <v/>
      </c>
      <c r="M119" s="1">
        <f>IF(F119="","",ROUND(F119*$B$247,0))</f>
        <v/>
      </c>
      <c r="N119">
        <f>IF(M119="","",ROUND(M119*$B$248,0))</f>
        <v/>
      </c>
      <c r="O119">
        <f>IF(N119="","",ROUND(N119*$B$249,0))</f>
        <v/>
      </c>
      <c r="P119" s="3">
        <f>IF(O119="","",ROUND(O119*7.30,0))</f>
        <v/>
      </c>
      <c r="Q119" s="3">
        <f>IF(L119="","",L119+P119)</f>
        <v/>
      </c>
    </row>
    <row r="120">
      <c r="A120" s="1" t="inlineStr">
        <is>
          <t>Tier 3</t>
        </is>
      </c>
      <c r="B120" s="1" t="inlineStr">
        <is>
          <t>HN</t>
        </is>
      </c>
      <c r="C120" s="1" t="n">
        <v>675</v>
      </c>
      <c r="D120" s="1" t="n">
        <v>24</v>
      </c>
      <c r="E120" s="1">
        <f>IFERROR(ROUND(C120/D120,0),"")</f>
        <v/>
      </c>
      <c r="F120" s="1">
        <f>IF(D120="","",D120*$B$244)</f>
        <v/>
      </c>
      <c r="G120" s="1">
        <f>IF(F120="","",ROUND(F120*$B$246,0))</f>
        <v/>
      </c>
      <c r="H120" s="3">
        <f>IF(G120="","",ROUND(G120*10/1000,0))</f>
        <v/>
      </c>
      <c r="I120" s="3">
        <f>IF(G120="","",ROUND(G120*15/1000,0))</f>
        <v/>
      </c>
      <c r="J120" s="3">
        <f>IF(G120="","",ROUND(G120*20/1000,0))</f>
        <v/>
      </c>
      <c r="K120" s="1">
        <f>IF(F120="","",ROUND(F120*0.10,0))</f>
        <v/>
      </c>
      <c r="L120" s="3">
        <f>IF(K120="","",ROUND(K120*5/1000,0))</f>
        <v/>
      </c>
      <c r="M120" s="1">
        <f>IF(F120="","",ROUND(F120*$B$247,0))</f>
        <v/>
      </c>
      <c r="N120">
        <f>IF(M120="","",ROUND(M120*$B$248,0))</f>
        <v/>
      </c>
      <c r="O120">
        <f>IF(N120="","",ROUND(N120*$B$249,0))</f>
        <v/>
      </c>
      <c r="P120" s="3">
        <f>IF(O120="","",ROUND(O120*7.30,0))</f>
        <v/>
      </c>
      <c r="Q120" s="3">
        <f>IF(L120="","",L120+P120)</f>
        <v/>
      </c>
    </row>
    <row r="121">
      <c r="A121" s="1" t="inlineStr">
        <is>
          <t>Tier 3</t>
        </is>
      </c>
      <c r="B121" s="1" t="inlineStr">
        <is>
          <t>IM</t>
        </is>
      </c>
      <c r="C121" s="1" t="n">
        <v>628</v>
      </c>
      <c r="D121" s="1" t="n">
        <v>21</v>
      </c>
      <c r="E121" s="1">
        <f>IFERROR(ROUND(C121/D121,0),"")</f>
        <v/>
      </c>
      <c r="F121" s="1">
        <f>IF(D121="","",D121*$B$244)</f>
        <v/>
      </c>
      <c r="G121" s="1">
        <f>IF(F121="","",ROUND(F121*$B$246,0))</f>
        <v/>
      </c>
      <c r="H121" s="3">
        <f>IF(G121="","",ROUND(G121*10/1000,0))</f>
        <v/>
      </c>
      <c r="I121" s="3">
        <f>IF(G121="","",ROUND(G121*15/1000,0))</f>
        <v/>
      </c>
      <c r="J121" s="3">
        <f>IF(G121="","",ROUND(G121*20/1000,0))</f>
        <v/>
      </c>
      <c r="K121" s="1">
        <f>IF(F121="","",ROUND(F121*0.10,0))</f>
        <v/>
      </c>
      <c r="L121" s="3">
        <f>IF(K121="","",ROUND(K121*5/1000,0))</f>
        <v/>
      </c>
      <c r="M121" s="1">
        <f>IF(F121="","",ROUND(F121*$B$247,0))</f>
        <v/>
      </c>
      <c r="N121">
        <f>IF(M121="","",ROUND(M121*$B$248,0))</f>
        <v/>
      </c>
      <c r="O121">
        <f>IF(N121="","",ROUND(N121*$B$249,0))</f>
        <v/>
      </c>
      <c r="P121" s="3">
        <f>IF(O121="","",ROUND(O121*7.30,0))</f>
        <v/>
      </c>
      <c r="Q121" s="3">
        <f>IF(L121="","",L121+P121)</f>
        <v/>
      </c>
    </row>
    <row r="122">
      <c r="A122" s="1" t="inlineStr">
        <is>
          <t>Tier 3</t>
        </is>
      </c>
      <c r="B122" s="1" t="inlineStr">
        <is>
          <t>LA</t>
        </is>
      </c>
      <c r="C122" s="1" t="n">
        <v>687</v>
      </c>
      <c r="D122" s="1" t="n">
        <v>19</v>
      </c>
      <c r="E122" s="1">
        <f>IFERROR(ROUND(C122/D122,0),"")</f>
        <v/>
      </c>
      <c r="F122" s="1">
        <f>IF(D122="","",D122*$B$244)</f>
        <v/>
      </c>
      <c r="G122" s="1">
        <f>IF(F122="","",ROUND(F122*$B$246,0))</f>
        <v/>
      </c>
      <c r="H122" s="3">
        <f>IF(G122="","",ROUND(G122*10/1000,0))</f>
        <v/>
      </c>
      <c r="I122" s="3">
        <f>IF(G122="","",ROUND(G122*15/1000,0))</f>
        <v/>
      </c>
      <c r="J122" s="3">
        <f>IF(G122="","",ROUND(G122*20/1000,0))</f>
        <v/>
      </c>
      <c r="K122" s="1">
        <f>IF(F122="","",ROUND(F122*0.10,0))</f>
        <v/>
      </c>
      <c r="L122" s="3">
        <f>IF(K122="","",ROUND(K122*5/1000,0))</f>
        <v/>
      </c>
      <c r="M122" s="1">
        <f>IF(F122="","",ROUND(F122*$B$247,0))</f>
        <v/>
      </c>
      <c r="N122">
        <f>IF(M122="","",ROUND(M122*$B$248,0))</f>
        <v/>
      </c>
      <c r="O122">
        <f>IF(N122="","",ROUND(N122*$B$249,0))</f>
        <v/>
      </c>
      <c r="P122" s="3">
        <f>IF(O122="","",ROUND(O122*7.30,0))</f>
        <v/>
      </c>
      <c r="Q122" s="3">
        <f>IF(L122="","",L122+P122)</f>
        <v/>
      </c>
    </row>
    <row r="123">
      <c r="A123" s="1" t="inlineStr">
        <is>
          <t>Tier 3</t>
        </is>
      </c>
      <c r="B123" s="1" t="inlineStr">
        <is>
          <t>MV</t>
        </is>
      </c>
      <c r="C123" s="1" t="n">
        <v>310</v>
      </c>
      <c r="D123" s="1" t="n">
        <v>19</v>
      </c>
      <c r="E123" s="1">
        <f>IFERROR(ROUND(C123/D123,0),"")</f>
        <v/>
      </c>
      <c r="F123" s="1">
        <f>IF(D123="","",D123*$B$244)</f>
        <v/>
      </c>
      <c r="G123" s="1">
        <f>IF(F123="","",ROUND(F123*$B$246,0))</f>
        <v/>
      </c>
      <c r="H123" s="3">
        <f>IF(G123="","",ROUND(G123*10/1000,0))</f>
        <v/>
      </c>
      <c r="I123" s="3">
        <f>IF(G123="","",ROUND(G123*15/1000,0))</f>
        <v/>
      </c>
      <c r="J123" s="3">
        <f>IF(G123="","",ROUND(G123*20/1000,0))</f>
        <v/>
      </c>
      <c r="K123" s="1">
        <f>IF(F123="","",ROUND(F123*0.10,0))</f>
        <v/>
      </c>
      <c r="L123" s="3">
        <f>IF(K123="","",ROUND(K123*5/1000,0))</f>
        <v/>
      </c>
      <c r="M123" s="1">
        <f>IF(F123="","",ROUND(F123*$B$247,0))</f>
        <v/>
      </c>
      <c r="N123">
        <f>IF(M123="","",ROUND(M123*$B$248,0))</f>
        <v/>
      </c>
      <c r="O123">
        <f>IF(N123="","",ROUND(N123*$B$249,0))</f>
        <v/>
      </c>
      <c r="P123" s="3">
        <f>IF(O123="","",ROUND(O123*7.30,0))</f>
        <v/>
      </c>
      <c r="Q123" s="3">
        <f>IF(L123="","",L123+P123)</f>
        <v/>
      </c>
    </row>
    <row r="124">
      <c r="A124" s="1" t="inlineStr">
        <is>
          <t>Tier 3</t>
        </is>
      </c>
      <c r="B124" s="1" t="inlineStr">
        <is>
          <t>NC</t>
        </is>
      </c>
      <c r="C124" s="1" t="n">
        <v>268</v>
      </c>
      <c r="D124" s="1" t="n">
        <v>19</v>
      </c>
      <c r="E124" s="1">
        <f>IFERROR(ROUND(C124/D124,0),"")</f>
        <v/>
      </c>
      <c r="F124" s="1">
        <f>IF(D124="","",D124*$B$244)</f>
        <v/>
      </c>
      <c r="G124" s="1">
        <f>IF(F124="","",ROUND(F124*$B$246,0))</f>
        <v/>
      </c>
      <c r="H124" s="3">
        <f>IF(G124="","",ROUND(G124*10/1000,0))</f>
        <v/>
      </c>
      <c r="I124" s="3">
        <f>IF(G124="","",ROUND(G124*15/1000,0))</f>
        <v/>
      </c>
      <c r="J124" s="3">
        <f>IF(G124="","",ROUND(G124*20/1000,0))</f>
        <v/>
      </c>
      <c r="K124" s="1">
        <f>IF(F124="","",ROUND(F124*0.10,0))</f>
        <v/>
      </c>
      <c r="L124" s="3">
        <f>IF(K124="","",ROUND(K124*5/1000,0))</f>
        <v/>
      </c>
      <c r="M124" s="1">
        <f>IF(F124="","",ROUND(F124*$B$247,0))</f>
        <v/>
      </c>
      <c r="N124">
        <f>IF(M124="","",ROUND(M124*$B$248,0))</f>
        <v/>
      </c>
      <c r="O124">
        <f>IF(N124="","",ROUND(N124*$B$249,0))</f>
        <v/>
      </c>
      <c r="P124" s="3">
        <f>IF(O124="","",ROUND(O124*7.30,0))</f>
        <v/>
      </c>
      <c r="Q124" s="3">
        <f>IF(L124="","",L124+P124)</f>
        <v/>
      </c>
    </row>
    <row r="125">
      <c r="A125" s="1" t="inlineStr">
        <is>
          <t>Tier 3</t>
        </is>
      </c>
      <c r="B125" s="1" t="inlineStr">
        <is>
          <t>pl</t>
        </is>
      </c>
      <c r="C125" s="1" t="n">
        <v>278</v>
      </c>
      <c r="D125" s="1" t="n">
        <v>17</v>
      </c>
      <c r="E125" s="1">
        <f>IFERROR(ROUND(C125/D125,0),"")</f>
        <v/>
      </c>
      <c r="F125" s="1">
        <f>IF(D125="","",D125*$B$244)</f>
        <v/>
      </c>
      <c r="G125" s="1">
        <f>IF(F125="","",ROUND(F125*$B$246,0))</f>
        <v/>
      </c>
      <c r="H125" s="3">
        <f>IF(G125="","",ROUND(G125*10/1000,0))</f>
        <v/>
      </c>
      <c r="I125" s="3">
        <f>IF(G125="","",ROUND(G125*15/1000,0))</f>
        <v/>
      </c>
      <c r="J125" s="3">
        <f>IF(G125="","",ROUND(G125*20/1000,0))</f>
        <v/>
      </c>
      <c r="K125" s="1">
        <f>IF(F125="","",ROUND(F125*0.10,0))</f>
        <v/>
      </c>
      <c r="L125" s="3">
        <f>IF(K125="","",ROUND(K125*5/1000,0))</f>
        <v/>
      </c>
      <c r="M125" s="1">
        <f>IF(F125="","",ROUND(F125*$B$247,0))</f>
        <v/>
      </c>
      <c r="N125">
        <f>IF(M125="","",ROUND(M125*$B$248,0))</f>
        <v/>
      </c>
      <c r="O125">
        <f>IF(N125="","",ROUND(N125*$B$249,0))</f>
        <v/>
      </c>
      <c r="P125" s="3">
        <f>IF(O125="","",ROUND(O125*7.30,0))</f>
        <v/>
      </c>
      <c r="Q125" s="3">
        <f>IF(L125="","",L125+P125)</f>
        <v/>
      </c>
    </row>
    <row r="126">
      <c r="A126" s="1" t="inlineStr">
        <is>
          <t>Tier 3</t>
        </is>
      </c>
      <c r="B126" s="1" t="inlineStr">
        <is>
          <t>MC</t>
        </is>
      </c>
      <c r="C126" s="1" t="n">
        <v>283</v>
      </c>
      <c r="D126" s="1" t="n">
        <v>16</v>
      </c>
      <c r="E126" s="1">
        <f>IFERROR(ROUND(C126/D126,0),"")</f>
        <v/>
      </c>
      <c r="F126" s="1">
        <f>IF(D126="","",D126*$B$244)</f>
        <v/>
      </c>
      <c r="G126" s="1">
        <f>IF(F126="","",ROUND(F126*$B$246,0))</f>
        <v/>
      </c>
      <c r="H126" s="3">
        <f>IF(G126="","",ROUND(G126*10/1000,0))</f>
        <v/>
      </c>
      <c r="I126" s="3">
        <f>IF(G126="","",ROUND(G126*15/1000,0))</f>
        <v/>
      </c>
      <c r="J126" s="3">
        <f>IF(G126="","",ROUND(G126*20/1000,0))</f>
        <v/>
      </c>
      <c r="K126" s="1">
        <f>IF(F126="","",ROUND(F126*0.10,0))</f>
        <v/>
      </c>
      <c r="L126" s="3">
        <f>IF(K126="","",ROUND(K126*5/1000,0))</f>
        <v/>
      </c>
      <c r="M126" s="1">
        <f>IF(F126="","",ROUND(F126*$B$247,0))</f>
        <v/>
      </c>
      <c r="N126">
        <f>IF(M126="","",ROUND(M126*$B$248,0))</f>
        <v/>
      </c>
      <c r="O126">
        <f>IF(N126="","",ROUND(N126*$B$249,0))</f>
        <v/>
      </c>
      <c r="P126" s="3">
        <f>IF(O126="","",ROUND(O126*7.30,0))</f>
        <v/>
      </c>
      <c r="Q126" s="3">
        <f>IF(L126="","",L126+P126)</f>
        <v/>
      </c>
    </row>
    <row r="127">
      <c r="A127" s="1" t="inlineStr">
        <is>
          <t>Tier 3</t>
        </is>
      </c>
      <c r="B127" s="1" t="inlineStr">
        <is>
          <t>us</t>
        </is>
      </c>
      <c r="C127" s="1" t="n">
        <v>226</v>
      </c>
      <c r="D127" s="1" t="n">
        <v>15</v>
      </c>
      <c r="E127" s="1">
        <f>IFERROR(ROUND(C127/D127,0),"")</f>
        <v/>
      </c>
      <c r="F127" s="1">
        <f>IF(D127="","",D127*$B$244)</f>
        <v/>
      </c>
      <c r="G127" s="1">
        <f>IF(F127="","",ROUND(F127*$B$246,0))</f>
        <v/>
      </c>
      <c r="H127" s="3">
        <f>IF(G127="","",ROUND(G127*10/1000,0))</f>
        <v/>
      </c>
      <c r="I127" s="3">
        <f>IF(G127="","",ROUND(G127*15/1000,0))</f>
        <v/>
      </c>
      <c r="J127" s="3">
        <f>IF(G127="","",ROUND(G127*20/1000,0))</f>
        <v/>
      </c>
      <c r="K127" s="1">
        <f>IF(F127="","",ROUND(F127*0.10,0))</f>
        <v/>
      </c>
      <c r="L127" s="3">
        <f>IF(K127="","",ROUND(K127*5/1000,0))</f>
        <v/>
      </c>
      <c r="M127" s="1">
        <f>IF(F127="","",ROUND(F127*$B$247,0))</f>
        <v/>
      </c>
      <c r="N127">
        <f>IF(M127="","",ROUND(M127*$B$248,0))</f>
        <v/>
      </c>
      <c r="O127">
        <f>IF(N127="","",ROUND(N127*$B$249,0))</f>
        <v/>
      </c>
      <c r="P127" s="3">
        <f>IF(O127="","",ROUND(O127*7.30,0))</f>
        <v/>
      </c>
      <c r="Q127" s="3">
        <f>IF(L127="","",L127+P127)</f>
        <v/>
      </c>
    </row>
    <row r="128">
      <c r="A128" s="1" t="inlineStr">
        <is>
          <t>Tier 3</t>
        </is>
      </c>
      <c r="B128" s="1" t="inlineStr">
        <is>
          <t>T1</t>
        </is>
      </c>
      <c r="C128" s="1" t="n">
        <v>55</v>
      </c>
      <c r="D128" s="1" t="n">
        <v>15</v>
      </c>
      <c r="E128" s="1">
        <f>IFERROR(ROUND(C128/D128,0),"")</f>
        <v/>
      </c>
      <c r="F128" s="1">
        <f>IF(D128="","",D128*$B$244)</f>
        <v/>
      </c>
      <c r="G128" s="1">
        <f>IF(F128="","",ROUND(F128*$B$246,0))</f>
        <v/>
      </c>
      <c r="H128" s="3">
        <f>IF(G128="","",ROUND(G128*10/1000,0))</f>
        <v/>
      </c>
      <c r="I128" s="3">
        <f>IF(G128="","",ROUND(G128*15/1000,0))</f>
        <v/>
      </c>
      <c r="J128" s="3">
        <f>IF(G128="","",ROUND(G128*20/1000,0))</f>
        <v/>
      </c>
      <c r="K128" s="1">
        <f>IF(F128="","",ROUND(F128*0.10,0))</f>
        <v/>
      </c>
      <c r="L128" s="3">
        <f>IF(K128="","",ROUND(K128*5/1000,0))</f>
        <v/>
      </c>
      <c r="M128" s="1">
        <f>IF(F128="","",ROUND(F128*$B$247,0))</f>
        <v/>
      </c>
      <c r="N128">
        <f>IF(M128="","",ROUND(M128*$B$248,0))</f>
        <v/>
      </c>
      <c r="O128">
        <f>IF(N128="","",ROUND(N128*$B$249,0))</f>
        <v/>
      </c>
      <c r="P128" s="3">
        <f>IF(O128="","",ROUND(O128*7.30,0))</f>
        <v/>
      </c>
      <c r="Q128" s="3">
        <f>IF(L128="","",L128+P128)</f>
        <v/>
      </c>
    </row>
    <row r="129">
      <c r="A129" s="1" t="inlineStr">
        <is>
          <t>Tier 3</t>
        </is>
      </c>
      <c r="B129" s="1" t="inlineStr">
        <is>
          <t>CI</t>
        </is>
      </c>
      <c r="C129" s="1" t="n">
        <v>535</v>
      </c>
      <c r="D129" s="1" t="n">
        <v>14</v>
      </c>
      <c r="E129" s="1">
        <f>IFERROR(ROUND(C129/D129,0),"")</f>
        <v/>
      </c>
      <c r="F129" s="1">
        <f>IF(D129="","",D129*$B$244)</f>
        <v/>
      </c>
      <c r="G129" s="1">
        <f>IF(F129="","",ROUND(F129*$B$246,0))</f>
        <v/>
      </c>
      <c r="H129" s="3">
        <f>IF(G129="","",ROUND(G129*10/1000,0))</f>
        <v/>
      </c>
      <c r="I129" s="3">
        <f>IF(G129="","",ROUND(G129*15/1000,0))</f>
        <v/>
      </c>
      <c r="J129" s="3">
        <f>IF(G129="","",ROUND(G129*20/1000,0))</f>
        <v/>
      </c>
      <c r="K129" s="1">
        <f>IF(F129="","",ROUND(F129*0.10,0))</f>
        <v/>
      </c>
      <c r="L129" s="3">
        <f>IF(K129="","",ROUND(K129*5/1000,0))</f>
        <v/>
      </c>
      <c r="M129" s="1">
        <f>IF(F129="","",ROUND(F129*$B$247,0))</f>
        <v/>
      </c>
      <c r="N129">
        <f>IF(M129="","",ROUND(M129*$B$248,0))</f>
        <v/>
      </c>
      <c r="O129">
        <f>IF(N129="","",ROUND(N129*$B$249,0))</f>
        <v/>
      </c>
      <c r="P129" s="3">
        <f>IF(O129="","",ROUND(O129*7.30,0))</f>
        <v/>
      </c>
      <c r="Q129" s="3">
        <f>IF(L129="","",L129+P129)</f>
        <v/>
      </c>
    </row>
    <row r="130">
      <c r="A130" s="1" t="inlineStr">
        <is>
          <t>Tier 3</t>
        </is>
      </c>
      <c r="B130" s="1" t="inlineStr">
        <is>
          <t>GG</t>
        </is>
      </c>
      <c r="C130" s="1" t="n">
        <v>235</v>
      </c>
      <c r="D130" s="1" t="n">
        <v>13</v>
      </c>
      <c r="E130" s="1">
        <f>IFERROR(ROUND(C130/D130,0),"")</f>
        <v/>
      </c>
      <c r="F130" s="1">
        <f>IF(D130="","",D130*$B$244)</f>
        <v/>
      </c>
      <c r="G130" s="1">
        <f>IF(F130="","",ROUND(F130*$B$246,0))</f>
        <v/>
      </c>
      <c r="H130" s="3">
        <f>IF(G130="","",ROUND(G130*10/1000,0))</f>
        <v/>
      </c>
      <c r="I130" s="3">
        <f>IF(G130="","",ROUND(G130*15/1000,0))</f>
        <v/>
      </c>
      <c r="J130" s="3">
        <f>IF(G130="","",ROUND(G130*20/1000,0))</f>
        <v/>
      </c>
      <c r="K130" s="1">
        <f>IF(F130="","",ROUND(F130*0.10,0))</f>
        <v/>
      </c>
      <c r="L130" s="3">
        <f>IF(K130="","",ROUND(K130*5/1000,0))</f>
        <v/>
      </c>
      <c r="M130" s="1">
        <f>IF(F130="","",ROUND(F130*$B$247,0))</f>
        <v/>
      </c>
      <c r="N130">
        <f>IF(M130="","",ROUND(M130*$B$248,0))</f>
        <v/>
      </c>
      <c r="O130">
        <f>IF(N130="","",ROUND(N130*$B$249,0))</f>
        <v/>
      </c>
      <c r="P130" s="3">
        <f>IF(O130="","",ROUND(O130*7.30,0))</f>
        <v/>
      </c>
      <c r="Q130" s="3">
        <f>IF(L130="","",L130+P130)</f>
        <v/>
      </c>
    </row>
    <row r="131">
      <c r="A131" s="1" t="inlineStr">
        <is>
          <t>Tier 3</t>
        </is>
      </c>
      <c r="B131" s="1" t="inlineStr">
        <is>
          <t>MQ</t>
        </is>
      </c>
      <c r="C131" s="1" t="n">
        <v>191</v>
      </c>
      <c r="D131" s="1" t="n">
        <v>13</v>
      </c>
      <c r="E131" s="1">
        <f>IFERROR(ROUND(C131/D131,0),"")</f>
        <v/>
      </c>
      <c r="F131" s="1">
        <f>IF(D131="","",D131*$B$244)</f>
        <v/>
      </c>
      <c r="G131" s="1">
        <f>IF(F131="","",ROUND(F131*$B$246,0))</f>
        <v/>
      </c>
      <c r="H131" s="3">
        <f>IF(G131="","",ROUND(G131*10/1000,0))</f>
        <v/>
      </c>
      <c r="I131" s="3">
        <f>IF(G131="","",ROUND(G131*15/1000,0))</f>
        <v/>
      </c>
      <c r="J131" s="3">
        <f>IF(G131="","",ROUND(G131*20/1000,0))</f>
        <v/>
      </c>
      <c r="K131" s="1">
        <f>IF(F131="","",ROUND(F131*0.10,0))</f>
        <v/>
      </c>
      <c r="L131" s="3">
        <f>IF(K131="","",ROUND(K131*5/1000,0))</f>
        <v/>
      </c>
      <c r="M131" s="1">
        <f>IF(F131="","",ROUND(F131*$B$247,0))</f>
        <v/>
      </c>
      <c r="N131">
        <f>IF(M131="","",ROUND(M131*$B$248,0))</f>
        <v/>
      </c>
      <c r="O131">
        <f>IF(N131="","",ROUND(N131*$B$249,0))</f>
        <v/>
      </c>
      <c r="P131" s="3">
        <f>IF(O131="","",ROUND(O131*7.30,0))</f>
        <v/>
      </c>
      <c r="Q131" s="3">
        <f>IF(L131="","",L131+P131)</f>
        <v/>
      </c>
    </row>
    <row r="132">
      <c r="A132" s="1" t="inlineStr">
        <is>
          <t>Tier 3</t>
        </is>
      </c>
      <c r="B132" s="1" t="inlineStr">
        <is>
          <t>SN</t>
        </is>
      </c>
      <c r="C132" s="1" t="n">
        <v>436</v>
      </c>
      <c r="D132" s="1" t="n">
        <v>12</v>
      </c>
      <c r="E132" s="1">
        <f>IFERROR(ROUND(C132/D132,0),"")</f>
        <v/>
      </c>
      <c r="F132" s="1">
        <f>IF(D132="","",D132*$B$244)</f>
        <v/>
      </c>
      <c r="G132" s="1">
        <f>IF(F132="","",ROUND(F132*$B$246,0))</f>
        <v/>
      </c>
      <c r="H132" s="3">
        <f>IF(G132="","",ROUND(G132*10/1000,0))</f>
        <v/>
      </c>
      <c r="I132" s="3">
        <f>IF(G132="","",ROUND(G132*15/1000,0))</f>
        <v/>
      </c>
      <c r="J132" s="3">
        <f>IF(G132="","",ROUND(G132*20/1000,0))</f>
        <v/>
      </c>
      <c r="K132" s="1">
        <f>IF(F132="","",ROUND(F132*0.10,0))</f>
        <v/>
      </c>
      <c r="L132" s="3">
        <f>IF(K132="","",ROUND(K132*5/1000,0))</f>
        <v/>
      </c>
      <c r="M132" s="1">
        <f>IF(F132="","",ROUND(F132*$B$247,0))</f>
        <v/>
      </c>
      <c r="N132">
        <f>IF(M132="","",ROUND(M132*$B$248,0))</f>
        <v/>
      </c>
      <c r="O132">
        <f>IF(N132="","",ROUND(N132*$B$249,0))</f>
        <v/>
      </c>
      <c r="P132" s="3">
        <f>IF(O132="","",ROUND(O132*7.30,0))</f>
        <v/>
      </c>
      <c r="Q132" s="3">
        <f>IF(L132="","",L132+P132)</f>
        <v/>
      </c>
    </row>
    <row r="133">
      <c r="A133" s="1" t="inlineStr">
        <is>
          <t>Tier 3</t>
        </is>
      </c>
      <c r="B133" s="1" t="inlineStr">
        <is>
          <t>NG</t>
        </is>
      </c>
      <c r="C133" s="1" t="n">
        <v>92</v>
      </c>
      <c r="D133" s="1" t="n">
        <v>12</v>
      </c>
      <c r="E133" s="1">
        <f>IFERROR(ROUND(C133/D133,0),"")</f>
        <v/>
      </c>
      <c r="F133" s="1">
        <f>IF(D133="","",D133*$B$244)</f>
        <v/>
      </c>
      <c r="G133" s="1">
        <f>IF(F133="","",ROUND(F133*$B$246,0))</f>
        <v/>
      </c>
      <c r="H133" s="3">
        <f>IF(G133="","",ROUND(G133*10/1000,0))</f>
        <v/>
      </c>
      <c r="I133" s="3">
        <f>IF(G133="","",ROUND(G133*15/1000,0))</f>
        <v/>
      </c>
      <c r="J133" s="3">
        <f>IF(G133="","",ROUND(G133*20/1000,0))</f>
        <v/>
      </c>
      <c r="K133" s="1">
        <f>IF(F133="","",ROUND(F133*0.10,0))</f>
        <v/>
      </c>
      <c r="L133" s="3">
        <f>IF(K133="","",ROUND(K133*5/1000,0))</f>
        <v/>
      </c>
      <c r="M133" s="1">
        <f>IF(F133="","",ROUND(F133*$B$247,0))</f>
        <v/>
      </c>
      <c r="N133">
        <f>IF(M133="","",ROUND(M133*$B$248,0))</f>
        <v/>
      </c>
      <c r="O133">
        <f>IF(N133="","",ROUND(N133*$B$249,0))</f>
        <v/>
      </c>
      <c r="P133" s="3">
        <f>IF(O133="","",ROUND(O133*7.30,0))</f>
        <v/>
      </c>
      <c r="Q133" s="3">
        <f>IF(L133="","",L133+P133)</f>
        <v/>
      </c>
    </row>
    <row r="134">
      <c r="A134" s="1" t="inlineStr">
        <is>
          <t>Tier 3</t>
        </is>
      </c>
      <c r="B134" s="1" t="inlineStr">
        <is>
          <t>TM</t>
        </is>
      </c>
      <c r="C134" s="1" t="n">
        <v>88</v>
      </c>
      <c r="D134" s="1" t="n">
        <v>11</v>
      </c>
      <c r="E134" s="1">
        <f>IFERROR(ROUND(C134/D134,0),"")</f>
        <v/>
      </c>
      <c r="F134" s="1">
        <f>IF(D134="","",D134*$B$244)</f>
        <v/>
      </c>
      <c r="G134" s="1">
        <f>IF(F134="","",ROUND(F134*$B$246,0))</f>
        <v/>
      </c>
      <c r="H134" s="3">
        <f>IF(G134="","",ROUND(G134*10/1000,0))</f>
        <v/>
      </c>
      <c r="I134" s="3">
        <f>IF(G134="","",ROUND(G134*15/1000,0))</f>
        <v/>
      </c>
      <c r="J134" s="3">
        <f>IF(G134="","",ROUND(G134*20/1000,0))</f>
        <v/>
      </c>
      <c r="K134" s="1">
        <f>IF(F134="","",ROUND(F134*0.10,0))</f>
        <v/>
      </c>
      <c r="L134" s="3">
        <f>IF(K134="","",ROUND(K134*5/1000,0))</f>
        <v/>
      </c>
      <c r="M134" s="1">
        <f>IF(F134="","",ROUND(F134*$B$247,0))</f>
        <v/>
      </c>
      <c r="N134">
        <f>IF(M134="","",ROUND(M134*$B$248,0))</f>
        <v/>
      </c>
      <c r="O134">
        <f>IF(N134="","",ROUND(N134*$B$249,0))</f>
        <v/>
      </c>
      <c r="P134" s="3">
        <f>IF(O134="","",ROUND(O134*7.30,0))</f>
        <v/>
      </c>
      <c r="Q134" s="3">
        <f>IF(L134="","",L134+P134)</f>
        <v/>
      </c>
    </row>
    <row r="135">
      <c r="A135" s="1" t="inlineStr">
        <is>
          <t>Tier 3</t>
        </is>
      </c>
      <c r="B135" s="1" t="inlineStr">
        <is>
          <t>KE</t>
        </is>
      </c>
      <c r="C135" s="1" t="n">
        <v>543</v>
      </c>
      <c r="D135" s="1" t="n">
        <v>10</v>
      </c>
      <c r="E135" s="1">
        <f>IFERROR(ROUND(C135/D135,0),"")</f>
        <v/>
      </c>
      <c r="F135" s="1">
        <f>IF(D135="","",D135*$B$244)</f>
        <v/>
      </c>
      <c r="G135" s="1">
        <f>IF(F135="","",ROUND(F135*$B$246,0))</f>
        <v/>
      </c>
      <c r="H135" s="3">
        <f>IF(G135="","",ROUND(G135*10/1000,0))</f>
        <v/>
      </c>
      <c r="I135" s="3">
        <f>IF(G135="","",ROUND(G135*15/1000,0))</f>
        <v/>
      </c>
      <c r="J135" s="3">
        <f>IF(G135="","",ROUND(G135*20/1000,0))</f>
        <v/>
      </c>
      <c r="K135" s="1">
        <f>IF(F135="","",ROUND(F135*0.10,0))</f>
        <v/>
      </c>
      <c r="L135" s="3">
        <f>IF(K135="","",ROUND(K135*5/1000,0))</f>
        <v/>
      </c>
      <c r="M135" s="1">
        <f>IF(F135="","",ROUND(F135*$B$247,0))</f>
        <v/>
      </c>
      <c r="N135">
        <f>IF(M135="","",ROUND(M135*$B$248,0))</f>
        <v/>
      </c>
      <c r="O135">
        <f>IF(N135="","",ROUND(N135*$B$249,0))</f>
        <v/>
      </c>
      <c r="P135" s="3">
        <f>IF(O135="","",ROUND(O135*7.30,0))</f>
        <v/>
      </c>
      <c r="Q135" s="3">
        <f>IF(L135="","",L135+P135)</f>
        <v/>
      </c>
    </row>
    <row r="136">
      <c r="A136" s="1" t="inlineStr">
        <is>
          <t>Tier 3</t>
        </is>
      </c>
      <c r="B136" s="1" t="inlineStr">
        <is>
          <t>AO</t>
        </is>
      </c>
      <c r="C136" s="1" t="n">
        <v>266</v>
      </c>
      <c r="D136" s="1" t="n">
        <v>8</v>
      </c>
      <c r="E136" s="1">
        <f>IFERROR(ROUND(C136/D136,0),"")</f>
        <v/>
      </c>
      <c r="F136" s="1">
        <f>IF(D136="","",D136*$B$244)</f>
        <v/>
      </c>
      <c r="G136" s="1">
        <f>IF(F136="","",ROUND(F136*$B$246,0))</f>
        <v/>
      </c>
      <c r="H136" s="3">
        <f>IF(G136="","",ROUND(G136*10/1000,0))</f>
        <v/>
      </c>
      <c r="I136" s="3">
        <f>IF(G136="","",ROUND(G136*15/1000,0))</f>
        <v/>
      </c>
      <c r="J136" s="3">
        <f>IF(G136="","",ROUND(G136*20/1000,0))</f>
        <v/>
      </c>
      <c r="K136" s="1">
        <f>IF(F136="","",ROUND(F136*0.10,0))</f>
        <v/>
      </c>
      <c r="L136" s="3">
        <f>IF(K136="","",ROUND(K136*5/1000,0))</f>
        <v/>
      </c>
      <c r="M136" s="1">
        <f>IF(F136="","",ROUND(F136*$B$247,0))</f>
        <v/>
      </c>
      <c r="N136">
        <f>IF(M136="","",ROUND(M136*$B$248,0))</f>
        <v/>
      </c>
      <c r="O136">
        <f>IF(N136="","",ROUND(N136*$B$249,0))</f>
        <v/>
      </c>
      <c r="P136" s="3">
        <f>IF(O136="","",ROUND(O136*7.30,0))</f>
        <v/>
      </c>
      <c r="Q136" s="3">
        <f>IF(L136="","",L136+P136)</f>
        <v/>
      </c>
    </row>
    <row r="137">
      <c r="A137" s="1" t="inlineStr">
        <is>
          <t>Tier 3</t>
        </is>
      </c>
      <c r="B137" s="1" t="inlineStr">
        <is>
          <t>se</t>
        </is>
      </c>
      <c r="C137" s="1" t="n">
        <v>115</v>
      </c>
      <c r="D137" s="1" t="n">
        <v>8</v>
      </c>
      <c r="E137" s="1">
        <f>IFERROR(ROUND(C137/D137,0),"")</f>
        <v/>
      </c>
      <c r="F137" s="1">
        <f>IF(D137="","",D137*$B$244)</f>
        <v/>
      </c>
      <c r="G137" s="1">
        <f>IF(F137="","",ROUND(F137*$B$246,0))</f>
        <v/>
      </c>
      <c r="H137" s="3">
        <f>IF(G137="","",ROUND(G137*10/1000,0))</f>
        <v/>
      </c>
      <c r="I137" s="3">
        <f>IF(G137="","",ROUND(G137*15/1000,0))</f>
        <v/>
      </c>
      <c r="J137" s="3">
        <f>IF(G137="","",ROUND(G137*20/1000,0))</f>
        <v/>
      </c>
      <c r="K137" s="1">
        <f>IF(F137="","",ROUND(F137*0.10,0))</f>
        <v/>
      </c>
      <c r="L137" s="3">
        <f>IF(K137="","",ROUND(K137*5/1000,0))</f>
        <v/>
      </c>
      <c r="M137" s="1">
        <f>IF(F137="","",ROUND(F137*$B$247,0))</f>
        <v/>
      </c>
      <c r="N137">
        <f>IF(M137="","",ROUND(M137*$B$248,0))</f>
        <v/>
      </c>
      <c r="O137">
        <f>IF(N137="","",ROUND(N137*$B$249,0))</f>
        <v/>
      </c>
      <c r="P137" s="3">
        <f>IF(O137="","",ROUND(O137*7.30,0))</f>
        <v/>
      </c>
      <c r="Q137" s="3">
        <f>IF(L137="","",L137+P137)</f>
        <v/>
      </c>
    </row>
    <row r="138">
      <c r="A138" s="1" t="inlineStr">
        <is>
          <t>Tier 3</t>
        </is>
      </c>
      <c r="B138" s="1" t="inlineStr">
        <is>
          <t>TT</t>
        </is>
      </c>
      <c r="C138" s="1" t="n">
        <v>75</v>
      </c>
      <c r="D138" s="1" t="n">
        <v>8</v>
      </c>
      <c r="E138" s="1">
        <f>IFERROR(ROUND(C138/D138,0),"")</f>
        <v/>
      </c>
      <c r="F138" s="1">
        <f>IF(D138="","",D138*$B$244)</f>
        <v/>
      </c>
      <c r="G138" s="1">
        <f>IF(F138="","",ROUND(F138*$B$246,0))</f>
        <v/>
      </c>
      <c r="H138" s="3">
        <f>IF(G138="","",ROUND(G138*10/1000,0))</f>
        <v/>
      </c>
      <c r="I138" s="3">
        <f>IF(G138="","",ROUND(G138*15/1000,0))</f>
        <v/>
      </c>
      <c r="J138" s="3">
        <f>IF(G138="","",ROUND(G138*20/1000,0))</f>
        <v/>
      </c>
      <c r="K138" s="1">
        <f>IF(F138="","",ROUND(F138*0.10,0))</f>
        <v/>
      </c>
      <c r="L138" s="3">
        <f>IF(K138="","",ROUND(K138*5/1000,0))</f>
        <v/>
      </c>
      <c r="M138" s="1">
        <f>IF(F138="","",ROUND(F138*$B$247,0))</f>
        <v/>
      </c>
      <c r="N138">
        <f>IF(M138="","",ROUND(M138*$B$248,0))</f>
        <v/>
      </c>
      <c r="O138">
        <f>IF(N138="","",ROUND(N138*$B$249,0))</f>
        <v/>
      </c>
      <c r="P138" s="3">
        <f>IF(O138="","",ROUND(O138*7.30,0))</f>
        <v/>
      </c>
      <c r="Q138" s="3">
        <f>IF(L138="","",L138+P138)</f>
        <v/>
      </c>
    </row>
    <row r="139">
      <c r="A139" s="1" t="inlineStr">
        <is>
          <t>Tier 3</t>
        </is>
      </c>
      <c r="B139" s="1" t="inlineStr">
        <is>
          <t>CD</t>
        </is>
      </c>
      <c r="C139" s="1" t="n">
        <v>35</v>
      </c>
      <c r="D139" s="1" t="n">
        <v>8</v>
      </c>
      <c r="E139" s="1">
        <f>IFERROR(ROUND(C139/D139,0),"")</f>
        <v/>
      </c>
      <c r="F139" s="1">
        <f>IF(D139="","",D139*$B$244)</f>
        <v/>
      </c>
      <c r="G139" s="1">
        <f>IF(F139="","",ROUND(F139*$B$246,0))</f>
        <v/>
      </c>
      <c r="H139" s="3">
        <f>IF(G139="","",ROUND(G139*10/1000,0))</f>
        <v/>
      </c>
      <c r="I139" s="3">
        <f>IF(G139="","",ROUND(G139*15/1000,0))</f>
        <v/>
      </c>
      <c r="J139" s="3">
        <f>IF(G139="","",ROUND(G139*20/1000,0))</f>
        <v/>
      </c>
      <c r="K139" s="1">
        <f>IF(F139="","",ROUND(F139*0.10,0))</f>
        <v/>
      </c>
      <c r="L139" s="3">
        <f>IF(K139="","",ROUND(K139*5/1000,0))</f>
        <v/>
      </c>
      <c r="M139" s="1">
        <f>IF(F139="","",ROUND(F139*$B$247,0))</f>
        <v/>
      </c>
      <c r="N139">
        <f>IF(M139="","",ROUND(M139*$B$248,0))</f>
        <v/>
      </c>
      <c r="O139">
        <f>IF(N139="","",ROUND(N139*$B$249,0))</f>
        <v/>
      </c>
      <c r="P139" s="3">
        <f>IF(O139="","",ROUND(O139*7.30,0))</f>
        <v/>
      </c>
      <c r="Q139" s="3">
        <f>IF(L139="","",L139+P139)</f>
        <v/>
      </c>
    </row>
    <row r="140">
      <c r="A140" s="1" t="inlineStr">
        <is>
          <t>Tier 3</t>
        </is>
      </c>
      <c r="B140" s="1" t="inlineStr">
        <is>
          <t>TG</t>
        </is>
      </c>
      <c r="C140" s="1" t="n">
        <v>126</v>
      </c>
      <c r="D140" s="1" t="n">
        <v>7</v>
      </c>
      <c r="E140" s="1">
        <f>IFERROR(ROUND(C140/D140,0),"")</f>
        <v/>
      </c>
      <c r="F140" s="1">
        <f>IF(D140="","",D140*$B$244)</f>
        <v/>
      </c>
      <c r="G140" s="1">
        <f>IF(F140="","",ROUND(F140*$B$246,0))</f>
        <v/>
      </c>
      <c r="H140" s="3">
        <f>IF(G140="","",ROUND(G140*10/1000,0))</f>
        <v/>
      </c>
      <c r="I140" s="3">
        <f>IF(G140="","",ROUND(G140*15/1000,0))</f>
        <v/>
      </c>
      <c r="J140" s="3">
        <f>IF(G140="","",ROUND(G140*20/1000,0))</f>
        <v/>
      </c>
      <c r="K140" s="1">
        <f>IF(F140="","",ROUND(F140*0.10,0))</f>
        <v/>
      </c>
      <c r="L140" s="3">
        <f>IF(K140="","",ROUND(K140*5/1000,0))</f>
        <v/>
      </c>
      <c r="M140" s="1">
        <f>IF(F140="","",ROUND(F140*$B$247,0))</f>
        <v/>
      </c>
      <c r="N140">
        <f>IF(M140="","",ROUND(M140*$B$248,0))</f>
        <v/>
      </c>
      <c r="O140">
        <f>IF(N140="","",ROUND(N140*$B$249,0))</f>
        <v/>
      </c>
      <c r="P140" s="3">
        <f>IF(O140="","",ROUND(O140*7.30,0))</f>
        <v/>
      </c>
      <c r="Q140" s="3">
        <f>IF(L140="","",L140+P140)</f>
        <v/>
      </c>
    </row>
    <row r="141">
      <c r="A141" s="1" t="inlineStr">
        <is>
          <t>Tier 3</t>
        </is>
      </c>
      <c r="B141" s="1" t="inlineStr">
        <is>
          <t>NI</t>
        </is>
      </c>
      <c r="C141" s="1" t="n">
        <v>80</v>
      </c>
      <c r="D141" s="1" t="n">
        <v>6</v>
      </c>
      <c r="E141" s="1">
        <f>IFERROR(ROUND(C141/D141,0),"")</f>
        <v/>
      </c>
      <c r="F141" s="1">
        <f>IF(D141="","",D141*$B$244)</f>
        <v/>
      </c>
      <c r="G141" s="1">
        <f>IF(F141="","",ROUND(F141*$B$246,0))</f>
        <v/>
      </c>
      <c r="H141" s="3">
        <f>IF(G141="","",ROUND(G141*10/1000,0))</f>
        <v/>
      </c>
      <c r="I141" s="3">
        <f>IF(G141="","",ROUND(G141*15/1000,0))</f>
        <v/>
      </c>
      <c r="J141" s="3">
        <f>IF(G141="","",ROUND(G141*20/1000,0))</f>
        <v/>
      </c>
      <c r="K141" s="1">
        <f>IF(F141="","",ROUND(F141*0.10,0))</f>
        <v/>
      </c>
      <c r="L141" s="3">
        <f>IF(K141="","",ROUND(K141*5/1000,0))</f>
        <v/>
      </c>
      <c r="M141" s="1">
        <f>IF(F141="","",ROUND(F141*$B$247,0))</f>
        <v/>
      </c>
      <c r="N141">
        <f>IF(M141="","",ROUND(M141*$B$248,0))</f>
        <v/>
      </c>
      <c r="O141">
        <f>IF(N141="","",ROUND(N141*$B$249,0))</f>
        <v/>
      </c>
      <c r="P141" s="3">
        <f>IF(O141="","",ROUND(O141*7.30,0))</f>
        <v/>
      </c>
      <c r="Q141" s="3">
        <f>IF(L141="","",L141+P141)</f>
        <v/>
      </c>
    </row>
    <row r="142">
      <c r="A142" s="1" t="inlineStr">
        <is>
          <t>Tier 3</t>
        </is>
      </c>
      <c r="B142" s="1" t="inlineStr">
        <is>
          <t>br</t>
        </is>
      </c>
      <c r="C142" s="1" t="n">
        <v>48</v>
      </c>
      <c r="D142" s="1" t="n">
        <v>6</v>
      </c>
      <c r="E142" s="1">
        <f>IFERROR(ROUND(C142/D142,0),"")</f>
        <v/>
      </c>
      <c r="F142" s="1">
        <f>IF(D142="","",D142*$B$244)</f>
        <v/>
      </c>
      <c r="G142" s="1">
        <f>IF(F142="","",ROUND(F142*$B$246,0))</f>
        <v/>
      </c>
      <c r="H142" s="3">
        <f>IF(G142="","",ROUND(G142*10/1000,0))</f>
        <v/>
      </c>
      <c r="I142" s="3">
        <f>IF(G142="","",ROUND(G142*15/1000,0))</f>
        <v/>
      </c>
      <c r="J142" s="3">
        <f>IF(G142="","",ROUND(G142*20/1000,0))</f>
        <v/>
      </c>
      <c r="K142" s="1">
        <f>IF(F142="","",ROUND(F142*0.10,0))</f>
        <v/>
      </c>
      <c r="L142" s="3">
        <f>IF(K142="","",ROUND(K142*5/1000,0))</f>
        <v/>
      </c>
      <c r="M142" s="1">
        <f>IF(F142="","",ROUND(F142*$B$247,0))</f>
        <v/>
      </c>
      <c r="N142">
        <f>IF(M142="","",ROUND(M142*$B$248,0))</f>
        <v/>
      </c>
      <c r="O142">
        <f>IF(N142="","",ROUND(N142*$B$249,0))</f>
        <v/>
      </c>
      <c r="P142" s="3">
        <f>IF(O142="","",ROUND(O142*7.30,0))</f>
        <v/>
      </c>
      <c r="Q142" s="3">
        <f>IF(L142="","",L142+P142)</f>
        <v/>
      </c>
    </row>
    <row r="143">
      <c r="A143" s="1" t="inlineStr">
        <is>
          <t>Tier 3</t>
        </is>
      </c>
      <c r="B143" s="1" t="inlineStr">
        <is>
          <t>CV</t>
        </is>
      </c>
      <c r="C143" s="1" t="n">
        <v>113</v>
      </c>
      <c r="D143" s="1" t="n">
        <v>5</v>
      </c>
      <c r="E143" s="1">
        <f>IFERROR(ROUND(C143/D143,0),"")</f>
        <v/>
      </c>
      <c r="F143" s="1">
        <f>IF(D143="","",D143*$B$244)</f>
        <v/>
      </c>
      <c r="G143" s="1">
        <f>IF(F143="","",ROUND(F143*$B$246,0))</f>
        <v/>
      </c>
      <c r="H143" s="3">
        <f>IF(G143="","",ROUND(G143*10/1000,0))</f>
        <v/>
      </c>
      <c r="I143" s="3">
        <f>IF(G143="","",ROUND(G143*15/1000,0))</f>
        <v/>
      </c>
      <c r="J143" s="3">
        <f>IF(G143="","",ROUND(G143*20/1000,0))</f>
        <v/>
      </c>
      <c r="K143" s="1">
        <f>IF(F143="","",ROUND(F143*0.10,0))</f>
        <v/>
      </c>
      <c r="L143" s="3">
        <f>IF(K143="","",ROUND(K143*5/1000,0))</f>
        <v/>
      </c>
      <c r="M143" s="1">
        <f>IF(F143="","",ROUND(F143*$B$247,0))</f>
        <v/>
      </c>
      <c r="N143">
        <f>IF(M143="","",ROUND(M143*$B$248,0))</f>
        <v/>
      </c>
      <c r="O143">
        <f>IF(N143="","",ROUND(N143*$B$249,0))</f>
        <v/>
      </c>
      <c r="P143" s="3">
        <f>IF(O143="","",ROUND(O143*7.30,0))</f>
        <v/>
      </c>
      <c r="Q143" s="3">
        <f>IF(L143="","",L143+P143)</f>
        <v/>
      </c>
    </row>
    <row r="144">
      <c r="A144" s="1" t="inlineStr">
        <is>
          <t>Tier 3</t>
        </is>
      </c>
      <c r="C144" s="1" t="n">
        <v>91</v>
      </c>
      <c r="D144" s="1" t="n">
        <v>5</v>
      </c>
      <c r="E144" s="1">
        <f>IFERROR(ROUND(C144/D144,0),"")</f>
        <v/>
      </c>
      <c r="F144" s="1">
        <f>IF(D144="","",D144*$B$244)</f>
        <v/>
      </c>
      <c r="G144" s="1">
        <f>IF(F144="","",ROUND(F144*$B$246,0))</f>
        <v/>
      </c>
      <c r="H144" s="3">
        <f>IF(G144="","",ROUND(G144*10/1000,0))</f>
        <v/>
      </c>
      <c r="I144" s="3">
        <f>IF(G144="","",ROUND(G144*15/1000,0))</f>
        <v/>
      </c>
      <c r="J144" s="3">
        <f>IF(G144="","",ROUND(G144*20/1000,0))</f>
        <v/>
      </c>
      <c r="K144" s="1">
        <f>IF(F144="","",ROUND(F144*0.10,0))</f>
        <v/>
      </c>
      <c r="L144" s="3">
        <f>IF(K144="","",ROUND(K144*5/1000,0))</f>
        <v/>
      </c>
      <c r="M144" s="1">
        <f>IF(F144="","",ROUND(F144*$B$247,0))</f>
        <v/>
      </c>
      <c r="N144">
        <f>IF(M144="","",ROUND(M144*$B$248,0))</f>
        <v/>
      </c>
      <c r="O144">
        <f>IF(N144="","",ROUND(N144*$B$249,0))</f>
        <v/>
      </c>
      <c r="P144" s="3">
        <f>IF(O144="","",ROUND(O144*7.30,0))</f>
        <v/>
      </c>
      <c r="Q144" s="3">
        <f>IF(L144="","",L144+P144)</f>
        <v/>
      </c>
    </row>
    <row r="145">
      <c r="A145" s="1" t="inlineStr">
        <is>
          <t>Tier 3</t>
        </is>
      </c>
      <c r="B145" s="1" t="inlineStr">
        <is>
          <t>BS</t>
        </is>
      </c>
      <c r="C145" s="1" t="n">
        <v>83</v>
      </c>
      <c r="D145" s="1" t="n">
        <v>5</v>
      </c>
      <c r="E145" s="1">
        <f>IFERROR(ROUND(C145/D145,0),"")</f>
        <v/>
      </c>
      <c r="F145" s="1">
        <f>IF(D145="","",D145*$B$244)</f>
        <v/>
      </c>
      <c r="G145" s="1">
        <f>IF(F145="","",ROUND(F145*$B$246,0))</f>
        <v/>
      </c>
      <c r="H145" s="3">
        <f>IF(G145="","",ROUND(G145*10/1000,0))</f>
        <v/>
      </c>
      <c r="I145" s="3">
        <f>IF(G145="","",ROUND(G145*15/1000,0))</f>
        <v/>
      </c>
      <c r="J145" s="3">
        <f>IF(G145="","",ROUND(G145*20/1000,0))</f>
        <v/>
      </c>
      <c r="K145" s="1">
        <f>IF(F145="","",ROUND(F145*0.10,0))</f>
        <v/>
      </c>
      <c r="L145" s="3">
        <f>IF(K145="","",ROUND(K145*5/1000,0))</f>
        <v/>
      </c>
      <c r="M145" s="1">
        <f>IF(F145="","",ROUND(F145*$B$247,0))</f>
        <v/>
      </c>
      <c r="N145">
        <f>IF(M145="","",ROUND(M145*$B$248,0))</f>
        <v/>
      </c>
      <c r="O145">
        <f>IF(N145="","",ROUND(N145*$B$249,0))</f>
        <v/>
      </c>
      <c r="P145" s="3">
        <f>IF(O145="","",ROUND(O145*7.30,0))</f>
        <v/>
      </c>
      <c r="Q145" s="3">
        <f>IF(L145="","",L145+P145)</f>
        <v/>
      </c>
    </row>
    <row r="146">
      <c r="A146" s="1" t="inlineStr">
        <is>
          <t>Tier 3</t>
        </is>
      </c>
      <c r="B146" s="1" t="inlineStr">
        <is>
          <t>MF</t>
        </is>
      </c>
      <c r="C146" s="1" t="n">
        <v>46</v>
      </c>
      <c r="D146" s="1" t="n">
        <v>5</v>
      </c>
      <c r="E146" s="1">
        <f>IFERROR(ROUND(C146/D146,0),"")</f>
        <v/>
      </c>
      <c r="F146" s="1">
        <f>IF(D146="","",D146*$B$244)</f>
        <v/>
      </c>
      <c r="G146" s="1">
        <f>IF(F146="","",ROUND(F146*$B$246,0))</f>
        <v/>
      </c>
      <c r="H146" s="3">
        <f>IF(G146="","",ROUND(G146*10/1000,0))</f>
        <v/>
      </c>
      <c r="I146" s="3">
        <f>IF(G146="","",ROUND(G146*15/1000,0))</f>
        <v/>
      </c>
      <c r="J146" s="3">
        <f>IF(G146="","",ROUND(G146*20/1000,0))</f>
        <v/>
      </c>
      <c r="K146" s="1">
        <f>IF(F146="","",ROUND(F146*0.10,0))</f>
        <v/>
      </c>
      <c r="L146" s="3">
        <f>IF(K146="","",ROUND(K146*5/1000,0))</f>
        <v/>
      </c>
      <c r="M146" s="1">
        <f>IF(F146="","",ROUND(F146*$B$247,0))</f>
        <v/>
      </c>
      <c r="N146">
        <f>IF(M146="","",ROUND(M146*$B$248,0))</f>
        <v/>
      </c>
      <c r="O146">
        <f>IF(N146="","",ROUND(N146*$B$249,0))</f>
        <v/>
      </c>
      <c r="P146" s="3">
        <f>IF(O146="","",ROUND(O146*7.30,0))</f>
        <v/>
      </c>
      <c r="Q146" s="3">
        <f>IF(L146="","",L146+P146)</f>
        <v/>
      </c>
    </row>
    <row r="147">
      <c r="A147" s="1" t="inlineStr">
        <is>
          <t>Tier 3</t>
        </is>
      </c>
      <c r="B147" s="1" t="inlineStr">
        <is>
          <t>GP</t>
        </is>
      </c>
      <c r="C147" s="1" t="n">
        <v>45</v>
      </c>
      <c r="D147" s="1" t="n">
        <v>5</v>
      </c>
      <c r="E147" s="1">
        <f>IFERROR(ROUND(C147/D147,0),"")</f>
        <v/>
      </c>
      <c r="F147" s="1">
        <f>IF(D147="","",D147*$B$244)</f>
        <v/>
      </c>
      <c r="G147" s="1">
        <f>IF(F147="","",ROUND(F147*$B$246,0))</f>
        <v/>
      </c>
      <c r="H147" s="3">
        <f>IF(G147="","",ROUND(G147*10/1000,0))</f>
        <v/>
      </c>
      <c r="I147" s="3">
        <f>IF(G147="","",ROUND(G147*15/1000,0))</f>
        <v/>
      </c>
      <c r="J147" s="3">
        <f>IF(G147="","",ROUND(G147*20/1000,0))</f>
        <v/>
      </c>
      <c r="K147" s="1">
        <f>IF(F147="","",ROUND(F147*0.10,0))</f>
        <v/>
      </c>
      <c r="L147" s="3">
        <f>IF(K147="","",ROUND(K147*5/1000,0))</f>
        <v/>
      </c>
      <c r="M147" s="1">
        <f>IF(F147="","",ROUND(F147*$B$247,0))</f>
        <v/>
      </c>
      <c r="N147">
        <f>IF(M147="","",ROUND(M147*$B$248,0))</f>
        <v/>
      </c>
      <c r="O147">
        <f>IF(N147="","",ROUND(N147*$B$249,0))</f>
        <v/>
      </c>
      <c r="P147" s="3">
        <f>IF(O147="","",ROUND(O147*7.30,0))</f>
        <v/>
      </c>
      <c r="Q147" s="3">
        <f>IF(L147="","",L147+P147)</f>
        <v/>
      </c>
    </row>
    <row r="148">
      <c r="A148" s="1" t="inlineStr">
        <is>
          <t>Tier 3</t>
        </is>
      </c>
      <c r="B148" s="1" t="inlineStr">
        <is>
          <t>GF</t>
        </is>
      </c>
      <c r="C148" s="1" t="n">
        <v>20</v>
      </c>
      <c r="D148" s="1" t="n">
        <v>5</v>
      </c>
      <c r="E148" s="1">
        <f>IFERROR(ROUND(C148/D148,0),"")</f>
        <v/>
      </c>
      <c r="F148" s="1">
        <f>IF(D148="","",D148*$B$244)</f>
        <v/>
      </c>
      <c r="G148" s="1">
        <f>IF(F148="","",ROUND(F148*$B$246,0))</f>
        <v/>
      </c>
      <c r="H148" s="3">
        <f>IF(G148="","",ROUND(G148*10/1000,0))</f>
        <v/>
      </c>
      <c r="I148" s="3">
        <f>IF(G148="","",ROUND(G148*15/1000,0))</f>
        <v/>
      </c>
      <c r="J148" s="3">
        <f>IF(G148="","",ROUND(G148*20/1000,0))</f>
        <v/>
      </c>
      <c r="K148" s="1">
        <f>IF(F148="","",ROUND(F148*0.10,0))</f>
        <v/>
      </c>
      <c r="L148" s="3">
        <f>IF(K148="","",ROUND(K148*5/1000,0))</f>
        <v/>
      </c>
      <c r="M148" s="1">
        <f>IF(F148="","",ROUND(F148*$B$247,0))</f>
        <v/>
      </c>
      <c r="N148">
        <f>IF(M148="","",ROUND(M148*$B$248,0))</f>
        <v/>
      </c>
      <c r="O148">
        <f>IF(N148="","",ROUND(N148*$B$249,0))</f>
        <v/>
      </c>
      <c r="P148" s="3">
        <f>IF(O148="","",ROUND(O148*7.30,0))</f>
        <v/>
      </c>
      <c r="Q148" s="3">
        <f>IF(L148="","",L148+P148)</f>
        <v/>
      </c>
    </row>
    <row r="149">
      <c r="A149" s="1" t="inlineStr">
        <is>
          <t>Tier 3</t>
        </is>
      </c>
      <c r="B149" s="1" t="inlineStr">
        <is>
          <t>GU</t>
        </is>
      </c>
      <c r="C149" s="1" t="n">
        <v>208</v>
      </c>
      <c r="D149" s="1" t="n">
        <v>4</v>
      </c>
      <c r="E149" s="1">
        <f>IFERROR(ROUND(C149/D149,0),"")</f>
        <v/>
      </c>
      <c r="F149" s="1">
        <f>IF(D149="","",D149*$B$244)</f>
        <v/>
      </c>
      <c r="G149" s="1">
        <f>IF(F149="","",ROUND(F149*$B$246,0))</f>
        <v/>
      </c>
      <c r="H149" s="3">
        <f>IF(G149="","",ROUND(G149*10/1000,0))</f>
        <v/>
      </c>
      <c r="I149" s="3">
        <f>IF(G149="","",ROUND(G149*15/1000,0))</f>
        <v/>
      </c>
      <c r="J149" s="3">
        <f>IF(G149="","",ROUND(G149*20/1000,0))</f>
        <v/>
      </c>
      <c r="K149" s="1">
        <f>IF(F149="","",ROUND(F149*0.10,0))</f>
        <v/>
      </c>
      <c r="L149" s="3">
        <f>IF(K149="","",ROUND(K149*5/1000,0))</f>
        <v/>
      </c>
      <c r="M149" s="1">
        <f>IF(F149="","",ROUND(F149*$B$247,0))</f>
        <v/>
      </c>
      <c r="N149">
        <f>IF(M149="","",ROUND(M149*$B$248,0))</f>
        <v/>
      </c>
      <c r="O149">
        <f>IF(N149="","",ROUND(N149*$B$249,0))</f>
        <v/>
      </c>
      <c r="P149" s="3">
        <f>IF(O149="","",ROUND(O149*7.30,0))</f>
        <v/>
      </c>
      <c r="Q149" s="3">
        <f>IF(L149="","",L149+P149)</f>
        <v/>
      </c>
    </row>
    <row r="150">
      <c r="A150" s="1" t="inlineStr">
        <is>
          <t>Tier 3</t>
        </is>
      </c>
      <c r="B150" s="1" t="inlineStr">
        <is>
          <t>JM</t>
        </is>
      </c>
      <c r="C150" s="1" t="n">
        <v>95</v>
      </c>
      <c r="D150" s="1" t="n">
        <v>4</v>
      </c>
      <c r="E150" s="1">
        <f>IFERROR(ROUND(C150/D150,0),"")</f>
        <v/>
      </c>
      <c r="F150" s="1">
        <f>IF(D150="","",D150*$B$244)</f>
        <v/>
      </c>
      <c r="G150" s="1">
        <f>IF(F150="","",ROUND(F150*$B$246,0))</f>
        <v/>
      </c>
      <c r="H150" s="3">
        <f>IF(G150="","",ROUND(G150*10/1000,0))</f>
        <v/>
      </c>
      <c r="I150" s="3">
        <f>IF(G150="","",ROUND(G150*15/1000,0))</f>
        <v/>
      </c>
      <c r="J150" s="3">
        <f>IF(G150="","",ROUND(G150*20/1000,0))</f>
        <v/>
      </c>
      <c r="K150" s="1">
        <f>IF(F150="","",ROUND(F150*0.10,0))</f>
        <v/>
      </c>
      <c r="L150" s="3">
        <f>IF(K150="","",ROUND(K150*5/1000,0))</f>
        <v/>
      </c>
      <c r="M150" s="1">
        <f>IF(F150="","",ROUND(F150*$B$247,0))</f>
        <v/>
      </c>
      <c r="N150">
        <f>IF(M150="","",ROUND(M150*$B$248,0))</f>
        <v/>
      </c>
      <c r="O150">
        <f>IF(N150="","",ROUND(N150*$B$249,0))</f>
        <v/>
      </c>
      <c r="P150" s="3">
        <f>IF(O150="","",ROUND(O150*7.30,0))</f>
        <v/>
      </c>
      <c r="Q150" s="3">
        <f>IF(L150="","",L150+P150)</f>
        <v/>
      </c>
    </row>
    <row r="151">
      <c r="A151" s="1" t="inlineStr">
        <is>
          <t>Tier 3</t>
        </is>
      </c>
      <c r="B151" s="1" t="inlineStr">
        <is>
          <t>NA</t>
        </is>
      </c>
      <c r="C151" s="1" t="n">
        <v>73</v>
      </c>
      <c r="D151" s="1" t="n">
        <v>4</v>
      </c>
      <c r="E151" s="1">
        <f>IFERROR(ROUND(C151/D151,0),"")</f>
        <v/>
      </c>
      <c r="F151" s="1">
        <f>IF(D151="","",D151*$B$244)</f>
        <v/>
      </c>
      <c r="G151" s="1">
        <f>IF(F151="","",ROUND(F151*$B$246,0))</f>
        <v/>
      </c>
      <c r="H151" s="3">
        <f>IF(G151="","",ROUND(G151*10/1000,0))</f>
        <v/>
      </c>
      <c r="I151" s="3">
        <f>IF(G151="","",ROUND(G151*15/1000,0))</f>
        <v/>
      </c>
      <c r="J151" s="3">
        <f>IF(G151="","",ROUND(G151*20/1000,0))</f>
        <v/>
      </c>
      <c r="K151" s="1">
        <f>IF(F151="","",ROUND(F151*0.10,0))</f>
        <v/>
      </c>
      <c r="L151" s="3">
        <f>IF(K151="","",ROUND(K151*5/1000,0))</f>
        <v/>
      </c>
      <c r="M151" s="1">
        <f>IF(F151="","",ROUND(F151*$B$247,0))</f>
        <v/>
      </c>
      <c r="N151">
        <f>IF(M151="","",ROUND(M151*$B$248,0))</f>
        <v/>
      </c>
      <c r="O151">
        <f>IF(N151="","",ROUND(N151*$B$249,0))</f>
        <v/>
      </c>
      <c r="P151" s="3">
        <f>IF(O151="","",ROUND(O151*7.30,0))</f>
        <v/>
      </c>
      <c r="Q151" s="3">
        <f>IF(L151="","",L151+P151)</f>
        <v/>
      </c>
    </row>
    <row r="152">
      <c r="A152" s="1" t="inlineStr">
        <is>
          <t>Tier 3</t>
        </is>
      </c>
      <c r="B152" s="1" t="inlineStr">
        <is>
          <t>ro</t>
        </is>
      </c>
      <c r="C152" s="1" t="n">
        <v>71</v>
      </c>
      <c r="D152" s="1" t="n">
        <v>4</v>
      </c>
      <c r="E152" s="1">
        <f>IFERROR(ROUND(C152/D152,0),"")</f>
        <v/>
      </c>
      <c r="F152" s="1">
        <f>IF(D152="","",D152*$B$244)</f>
        <v/>
      </c>
      <c r="G152" s="1">
        <f>IF(F152="","",ROUND(F152*$B$246,0))</f>
        <v/>
      </c>
      <c r="H152" s="3">
        <f>IF(G152="","",ROUND(G152*10/1000,0))</f>
        <v/>
      </c>
      <c r="I152" s="3">
        <f>IF(G152="","",ROUND(G152*15/1000,0))</f>
        <v/>
      </c>
      <c r="J152" s="3">
        <f>IF(G152="","",ROUND(G152*20/1000,0))</f>
        <v/>
      </c>
      <c r="K152" s="1">
        <f>IF(F152="","",ROUND(F152*0.10,0))</f>
        <v/>
      </c>
      <c r="L152" s="3">
        <f>IF(K152="","",ROUND(K152*5/1000,0))</f>
        <v/>
      </c>
      <c r="M152" s="1">
        <f>IF(F152="","",ROUND(F152*$B$247,0))</f>
        <v/>
      </c>
      <c r="N152">
        <f>IF(M152="","",ROUND(M152*$B$248,0))</f>
        <v/>
      </c>
      <c r="O152">
        <f>IF(N152="","",ROUND(N152*$B$249,0))</f>
        <v/>
      </c>
      <c r="P152" s="3">
        <f>IF(O152="","",ROUND(O152*7.30,0))</f>
        <v/>
      </c>
      <c r="Q152" s="3">
        <f>IF(L152="","",L152+P152)</f>
        <v/>
      </c>
    </row>
    <row r="153">
      <c r="A153" s="1" t="inlineStr">
        <is>
          <t>Tier 3</t>
        </is>
      </c>
      <c r="B153" s="1" t="inlineStr">
        <is>
          <t>dk</t>
        </is>
      </c>
      <c r="C153" s="1" t="n">
        <v>54</v>
      </c>
      <c r="D153" s="1" t="n">
        <v>4</v>
      </c>
      <c r="E153" s="1">
        <f>IFERROR(ROUND(C153/D153,0),"")</f>
        <v/>
      </c>
      <c r="F153" s="1">
        <f>IF(D153="","",D153*$B$244)</f>
        <v/>
      </c>
      <c r="G153" s="1">
        <f>IF(F153="","",ROUND(F153*$B$246,0))</f>
        <v/>
      </c>
      <c r="H153" s="3">
        <f>IF(G153="","",ROUND(G153*10/1000,0))</f>
        <v/>
      </c>
      <c r="I153" s="3">
        <f>IF(G153="","",ROUND(G153*15/1000,0))</f>
        <v/>
      </c>
      <c r="J153" s="3">
        <f>IF(G153="","",ROUND(G153*20/1000,0))</f>
        <v/>
      </c>
      <c r="K153" s="1">
        <f>IF(F153="","",ROUND(F153*0.10,0))</f>
        <v/>
      </c>
      <c r="L153" s="3">
        <f>IF(K153="","",ROUND(K153*5/1000,0))</f>
        <v/>
      </c>
      <c r="M153" s="1">
        <f>IF(F153="","",ROUND(F153*$B$247,0))</f>
        <v/>
      </c>
      <c r="N153">
        <f>IF(M153="","",ROUND(M153*$B$248,0))</f>
        <v/>
      </c>
      <c r="O153">
        <f>IF(N153="","",ROUND(N153*$B$249,0))</f>
        <v/>
      </c>
      <c r="P153" s="3">
        <f>IF(O153="","",ROUND(O153*7.30,0))</f>
        <v/>
      </c>
      <c r="Q153" s="3">
        <f>IF(L153="","",L153+P153)</f>
        <v/>
      </c>
    </row>
    <row r="154">
      <c r="A154" s="1" t="inlineStr">
        <is>
          <t>Tier 3</t>
        </is>
      </c>
      <c r="B154" s="1" t="inlineStr">
        <is>
          <t>PM</t>
        </is>
      </c>
      <c r="C154" s="1" t="n">
        <v>45</v>
      </c>
      <c r="D154" s="1" t="n">
        <v>4</v>
      </c>
      <c r="E154" s="1">
        <f>IFERROR(ROUND(C154/D154,0),"")</f>
        <v/>
      </c>
      <c r="F154" s="1">
        <f>IF(D154="","",D154*$B$244)</f>
        <v/>
      </c>
      <c r="G154" s="1">
        <f>IF(F154="","",ROUND(F154*$B$246,0))</f>
        <v/>
      </c>
      <c r="H154" s="3">
        <f>IF(G154="","",ROUND(G154*10/1000,0))</f>
        <v/>
      </c>
      <c r="I154" s="3">
        <f>IF(G154="","",ROUND(G154*15/1000,0))</f>
        <v/>
      </c>
      <c r="J154" s="3">
        <f>IF(G154="","",ROUND(G154*20/1000,0))</f>
        <v/>
      </c>
      <c r="K154" s="1">
        <f>IF(F154="","",ROUND(F154*0.10,0))</f>
        <v/>
      </c>
      <c r="L154" s="3">
        <f>IF(K154="","",ROUND(K154*5/1000,0))</f>
        <v/>
      </c>
      <c r="M154" s="1">
        <f>IF(F154="","",ROUND(F154*$B$247,0))</f>
        <v/>
      </c>
      <c r="N154">
        <f>IF(M154="","",ROUND(M154*$B$248,0))</f>
        <v/>
      </c>
      <c r="O154">
        <f>IF(N154="","",ROUND(N154*$B$249,0))</f>
        <v/>
      </c>
      <c r="P154" s="3">
        <f>IF(O154="","",ROUND(O154*7.30,0))</f>
        <v/>
      </c>
      <c r="Q154" s="3">
        <f>IF(L154="","",L154+P154)</f>
        <v/>
      </c>
    </row>
    <row r="155">
      <c r="A155" s="1" t="inlineStr">
        <is>
          <t>Tier 3</t>
        </is>
      </c>
      <c r="B155" s="1" t="inlineStr">
        <is>
          <t>tr</t>
        </is>
      </c>
      <c r="C155" s="1" t="n">
        <v>43</v>
      </c>
      <c r="D155" s="1" t="n">
        <v>4</v>
      </c>
      <c r="E155" s="1">
        <f>IFERROR(ROUND(C155/D155,0),"")</f>
        <v/>
      </c>
      <c r="F155" s="1">
        <f>IF(D155="","",D155*$B$244)</f>
        <v/>
      </c>
      <c r="G155" s="1">
        <f>IF(F155="","",ROUND(F155*$B$246,0))</f>
        <v/>
      </c>
      <c r="H155" s="3">
        <f>IF(G155="","",ROUND(G155*10/1000,0))</f>
        <v/>
      </c>
      <c r="I155" s="3">
        <f>IF(G155="","",ROUND(G155*15/1000,0))</f>
        <v/>
      </c>
      <c r="J155" s="3">
        <f>IF(G155="","",ROUND(G155*20/1000,0))</f>
        <v/>
      </c>
      <c r="K155" s="1">
        <f>IF(F155="","",ROUND(F155*0.10,0))</f>
        <v/>
      </c>
      <c r="L155" s="3">
        <f>IF(K155="","",ROUND(K155*5/1000,0))</f>
        <v/>
      </c>
      <c r="M155" s="1">
        <f>IF(F155="","",ROUND(F155*$B$247,0))</f>
        <v/>
      </c>
      <c r="N155">
        <f>IF(M155="","",ROUND(M155*$B$248,0))</f>
        <v/>
      </c>
      <c r="O155">
        <f>IF(N155="","",ROUND(N155*$B$249,0))</f>
        <v/>
      </c>
      <c r="P155" s="3">
        <f>IF(O155="","",ROUND(O155*7.30,0))</f>
        <v/>
      </c>
      <c r="Q155" s="3">
        <f>IF(L155="","",L155+P155)</f>
        <v/>
      </c>
    </row>
    <row r="156">
      <c r="A156" s="1" t="inlineStr">
        <is>
          <t>Tier 3</t>
        </is>
      </c>
      <c r="B156" s="1" t="inlineStr">
        <is>
          <t>de</t>
        </is>
      </c>
      <c r="C156" s="1" t="n">
        <v>39</v>
      </c>
      <c r="D156" s="1" t="n">
        <v>4</v>
      </c>
      <c r="E156" s="1">
        <f>IFERROR(ROUND(C156/D156,0),"")</f>
        <v/>
      </c>
      <c r="F156" s="1">
        <f>IF(D156="","",D156*$B$244)</f>
        <v/>
      </c>
      <c r="G156" s="1">
        <f>IF(F156="","",ROUND(F156*$B$246,0))</f>
        <v/>
      </c>
      <c r="H156" s="3">
        <f>IF(G156="","",ROUND(G156*10/1000,0))</f>
        <v/>
      </c>
      <c r="I156" s="3">
        <f>IF(G156="","",ROUND(G156*15/1000,0))</f>
        <v/>
      </c>
      <c r="J156" s="3">
        <f>IF(G156="","",ROUND(G156*20/1000,0))</f>
        <v/>
      </c>
      <c r="K156" s="1">
        <f>IF(F156="","",ROUND(F156*0.10,0))</f>
        <v/>
      </c>
      <c r="L156" s="3">
        <f>IF(K156="","",ROUND(K156*5/1000,0))</f>
        <v/>
      </c>
      <c r="M156" s="1">
        <f>IF(F156="","",ROUND(F156*$B$247,0))</f>
        <v/>
      </c>
      <c r="N156">
        <f>IF(M156="","",ROUND(M156*$B$248,0))</f>
        <v/>
      </c>
      <c r="O156">
        <f>IF(N156="","",ROUND(N156*$B$249,0))</f>
        <v/>
      </c>
      <c r="P156" s="3">
        <f>IF(O156="","",ROUND(O156*7.30,0))</f>
        <v/>
      </c>
      <c r="Q156" s="3">
        <f>IF(L156="","",L156+P156)</f>
        <v/>
      </c>
    </row>
    <row r="157">
      <c r="A157" s="1" t="inlineStr">
        <is>
          <t>Tier 3</t>
        </is>
      </c>
      <c r="B157" s="1" t="inlineStr">
        <is>
          <t>BB</t>
        </is>
      </c>
      <c r="C157" s="1" t="n">
        <v>25</v>
      </c>
      <c r="D157" s="1" t="n">
        <v>4</v>
      </c>
      <c r="E157" s="1">
        <f>IFERROR(ROUND(C157/D157,0),"")</f>
        <v/>
      </c>
      <c r="F157" s="1">
        <f>IF(D157="","",D157*$B$244)</f>
        <v/>
      </c>
      <c r="G157" s="1">
        <f>IF(F157="","",ROUND(F157*$B$246,0))</f>
        <v/>
      </c>
      <c r="H157" s="3">
        <f>IF(G157="","",ROUND(G157*10/1000,0))</f>
        <v/>
      </c>
      <c r="I157" s="3">
        <f>IF(G157="","",ROUND(G157*15/1000,0))</f>
        <v/>
      </c>
      <c r="J157" s="3">
        <f>IF(G157="","",ROUND(G157*20/1000,0))</f>
        <v/>
      </c>
      <c r="K157" s="1">
        <f>IF(F157="","",ROUND(F157*0.10,0))</f>
        <v/>
      </c>
      <c r="L157" s="3">
        <f>IF(K157="","",ROUND(K157*5/1000,0))</f>
        <v/>
      </c>
      <c r="M157" s="1">
        <f>IF(F157="","",ROUND(F157*$B$247,0))</f>
        <v/>
      </c>
      <c r="N157">
        <f>IF(M157="","",ROUND(M157*$B$248,0))</f>
        <v/>
      </c>
      <c r="O157">
        <f>IF(N157="","",ROUND(N157*$B$249,0))</f>
        <v/>
      </c>
      <c r="P157" s="3">
        <f>IF(O157="","",ROUND(O157*7.30,0))</f>
        <v/>
      </c>
      <c r="Q157" s="3">
        <f>IF(L157="","",L157+P157)</f>
        <v/>
      </c>
    </row>
    <row r="158">
      <c r="A158" s="1" t="inlineStr">
        <is>
          <t>Tier 3</t>
        </is>
      </c>
      <c r="B158" s="1" t="inlineStr">
        <is>
          <t>TD</t>
        </is>
      </c>
      <c r="C158" s="1" t="n">
        <v>142</v>
      </c>
      <c r="D158" s="1" t="n">
        <v>3</v>
      </c>
      <c r="E158" s="1">
        <f>IFERROR(ROUND(C158/D158,0),"")</f>
        <v/>
      </c>
      <c r="F158" s="1">
        <f>IF(D158="","",D158*$B$244)</f>
        <v/>
      </c>
      <c r="G158" s="1">
        <f>IF(F158="","",ROUND(F158*$B$246,0))</f>
        <v/>
      </c>
      <c r="H158" s="3">
        <f>IF(G158="","",ROUND(G158*10/1000,0))</f>
        <v/>
      </c>
      <c r="I158" s="3">
        <f>IF(G158="","",ROUND(G158*15/1000,0))</f>
        <v/>
      </c>
      <c r="J158" s="3">
        <f>IF(G158="","",ROUND(G158*20/1000,0))</f>
        <v/>
      </c>
      <c r="K158" s="1">
        <f>IF(F158="","",ROUND(F158*0.10,0))</f>
        <v/>
      </c>
      <c r="L158" s="3">
        <f>IF(K158="","",ROUND(K158*5/1000,0))</f>
        <v/>
      </c>
      <c r="M158" s="1">
        <f>IF(F158="","",ROUND(F158*$B$247,0))</f>
        <v/>
      </c>
      <c r="N158">
        <f>IF(M158="","",ROUND(M158*$B$248,0))</f>
        <v/>
      </c>
      <c r="O158">
        <f>IF(N158="","",ROUND(N158*$B$249,0))</f>
        <v/>
      </c>
      <c r="P158" s="3">
        <f>IF(O158="","",ROUND(O158*7.30,0))</f>
        <v/>
      </c>
      <c r="Q158" s="3">
        <f>IF(L158="","",L158+P158)</f>
        <v/>
      </c>
    </row>
    <row r="159">
      <c r="A159" s="1" t="inlineStr">
        <is>
          <t>Tier 3</t>
        </is>
      </c>
      <c r="B159" s="1" t="inlineStr">
        <is>
          <t>GA</t>
        </is>
      </c>
      <c r="C159" s="1" t="n">
        <v>122</v>
      </c>
      <c r="D159" s="1" t="n">
        <v>3</v>
      </c>
      <c r="E159" s="1">
        <f>IFERROR(ROUND(C159/D159,0),"")</f>
        <v/>
      </c>
      <c r="F159" s="1">
        <f>IF(D159="","",D159*$B$244)</f>
        <v/>
      </c>
      <c r="G159" s="1">
        <f>IF(F159="","",ROUND(F159*$B$246,0))</f>
        <v/>
      </c>
      <c r="H159" s="3">
        <f>IF(G159="","",ROUND(G159*10/1000,0))</f>
        <v/>
      </c>
      <c r="I159" s="3">
        <f>IF(G159="","",ROUND(G159*15/1000,0))</f>
        <v/>
      </c>
      <c r="J159" s="3">
        <f>IF(G159="","",ROUND(G159*20/1000,0))</f>
        <v/>
      </c>
      <c r="K159" s="1">
        <f>IF(F159="","",ROUND(F159*0.10,0))</f>
        <v/>
      </c>
      <c r="L159" s="3">
        <f>IF(K159="","",ROUND(K159*5/1000,0))</f>
        <v/>
      </c>
      <c r="M159" s="1">
        <f>IF(F159="","",ROUND(F159*$B$247,0))</f>
        <v/>
      </c>
      <c r="N159">
        <f>IF(M159="","",ROUND(M159*$B$248,0))</f>
        <v/>
      </c>
      <c r="O159">
        <f>IF(N159="","",ROUND(N159*$B$249,0))</f>
        <v/>
      </c>
      <c r="P159" s="3">
        <f>IF(O159="","",ROUND(O159*7.30,0))</f>
        <v/>
      </c>
      <c r="Q159" s="3">
        <f>IF(L159="","",L159+P159)</f>
        <v/>
      </c>
    </row>
    <row r="160">
      <c r="A160" s="1" t="inlineStr">
        <is>
          <t>Tier 3</t>
        </is>
      </c>
      <c r="B160" s="1" t="inlineStr">
        <is>
          <t>GH</t>
        </is>
      </c>
      <c r="C160" s="1" t="n">
        <v>102</v>
      </c>
      <c r="D160" s="1" t="n">
        <v>3</v>
      </c>
      <c r="E160" s="1">
        <f>IFERROR(ROUND(C160/D160,0),"")</f>
        <v/>
      </c>
      <c r="F160" s="1">
        <f>IF(D160="","",D160*$B$244)</f>
        <v/>
      </c>
      <c r="G160" s="1">
        <f>IF(F160="","",ROUND(F160*$B$246,0))</f>
        <v/>
      </c>
      <c r="H160" s="3">
        <f>IF(G160="","",ROUND(G160*10/1000,0))</f>
        <v/>
      </c>
      <c r="I160" s="3">
        <f>IF(G160="","",ROUND(G160*15/1000,0))</f>
        <v/>
      </c>
      <c r="J160" s="3">
        <f>IF(G160="","",ROUND(G160*20/1000,0))</f>
        <v/>
      </c>
      <c r="K160" s="1">
        <f>IF(F160="","",ROUND(F160*0.10,0))</f>
        <v/>
      </c>
      <c r="L160" s="3">
        <f>IF(K160="","",ROUND(K160*5/1000,0))</f>
        <v/>
      </c>
      <c r="M160" s="1">
        <f>IF(F160="","",ROUND(F160*$B$247,0))</f>
        <v/>
      </c>
      <c r="N160">
        <f>IF(M160="","",ROUND(M160*$B$248,0))</f>
        <v/>
      </c>
      <c r="O160">
        <f>IF(N160="","",ROUND(N160*$B$249,0))</f>
        <v/>
      </c>
      <c r="P160" s="3">
        <f>IF(O160="","",ROUND(O160*7.30,0))</f>
        <v/>
      </c>
      <c r="Q160" s="3">
        <f>IF(L160="","",L160+P160)</f>
        <v/>
      </c>
    </row>
    <row r="161">
      <c r="A161" s="1" t="inlineStr">
        <is>
          <t>Tier 3</t>
        </is>
      </c>
      <c r="B161" s="1" t="inlineStr">
        <is>
          <t>ua</t>
        </is>
      </c>
      <c r="C161" s="1" t="n">
        <v>72</v>
      </c>
      <c r="D161" s="1" t="n">
        <v>3</v>
      </c>
      <c r="E161" s="1">
        <f>IFERROR(ROUND(C161/D161,0),"")</f>
        <v/>
      </c>
      <c r="F161" s="1">
        <f>IF(D161="","",D161*$B$244)</f>
        <v/>
      </c>
      <c r="G161" s="1">
        <f>IF(F161="","",ROUND(F161*$B$246,0))</f>
        <v/>
      </c>
      <c r="H161" s="3">
        <f>IF(G161="","",ROUND(G161*10/1000,0))</f>
        <v/>
      </c>
      <c r="I161" s="3">
        <f>IF(G161="","",ROUND(G161*15/1000,0))</f>
        <v/>
      </c>
      <c r="J161" s="3">
        <f>IF(G161="","",ROUND(G161*20/1000,0))</f>
        <v/>
      </c>
      <c r="K161" s="1">
        <f>IF(F161="","",ROUND(F161*0.10,0))</f>
        <v/>
      </c>
      <c r="L161" s="3">
        <f>IF(K161="","",ROUND(K161*5/1000,0))</f>
        <v/>
      </c>
      <c r="M161" s="1">
        <f>IF(F161="","",ROUND(F161*$B$247,0))</f>
        <v/>
      </c>
      <c r="N161">
        <f>IF(M161="","",ROUND(M161*$B$248,0))</f>
        <v/>
      </c>
      <c r="O161">
        <f>IF(N161="","",ROUND(N161*$B$249,0))</f>
        <v/>
      </c>
      <c r="P161" s="3">
        <f>IF(O161="","",ROUND(O161*7.30,0))</f>
        <v/>
      </c>
      <c r="Q161" s="3">
        <f>IF(L161="","",L161+P161)</f>
        <v/>
      </c>
    </row>
    <row r="162">
      <c r="A162" s="1" t="inlineStr">
        <is>
          <t>Tier 3</t>
        </is>
      </c>
      <c r="B162" s="1" t="inlineStr">
        <is>
          <t>AF</t>
        </is>
      </c>
      <c r="C162" s="1" t="n">
        <v>68</v>
      </c>
      <c r="D162" s="1" t="n">
        <v>3</v>
      </c>
      <c r="E162" s="1">
        <f>IFERROR(ROUND(C162/D162,0),"")</f>
        <v/>
      </c>
      <c r="F162" s="1">
        <f>IF(D162="","",D162*$B$244)</f>
        <v/>
      </c>
      <c r="G162" s="1">
        <f>IF(F162="","",ROUND(F162*$B$246,0))</f>
        <v/>
      </c>
      <c r="H162" s="3">
        <f>IF(G162="","",ROUND(G162*10/1000,0))</f>
        <v/>
      </c>
      <c r="I162" s="3">
        <f>IF(G162="","",ROUND(G162*15/1000,0))</f>
        <v/>
      </c>
      <c r="J162" s="3">
        <f>IF(G162="","",ROUND(G162*20/1000,0))</f>
        <v/>
      </c>
      <c r="K162" s="1">
        <f>IF(F162="","",ROUND(F162*0.10,0))</f>
        <v/>
      </c>
      <c r="L162" s="3">
        <f>IF(K162="","",ROUND(K162*5/1000,0))</f>
        <v/>
      </c>
      <c r="M162" s="1">
        <f>IF(F162="","",ROUND(F162*$B$247,0))</f>
        <v/>
      </c>
      <c r="N162">
        <f>IF(M162="","",ROUND(M162*$B$248,0))</f>
        <v/>
      </c>
      <c r="O162">
        <f>IF(N162="","",ROUND(N162*$B$249,0))</f>
        <v/>
      </c>
      <c r="P162" s="3">
        <f>IF(O162="","",ROUND(O162*7.30,0))</f>
        <v/>
      </c>
      <c r="Q162" s="3">
        <f>IF(L162="","",L162+P162)</f>
        <v/>
      </c>
    </row>
    <row r="163">
      <c r="A163" s="1" t="inlineStr">
        <is>
          <t>Tier 3</t>
        </is>
      </c>
      <c r="B163" s="1" t="inlineStr">
        <is>
          <t>GI</t>
        </is>
      </c>
      <c r="C163" s="1" t="n">
        <v>36</v>
      </c>
      <c r="D163" s="1" t="n">
        <v>3</v>
      </c>
      <c r="E163" s="1">
        <f>IFERROR(ROUND(C163/D163,0),"")</f>
        <v/>
      </c>
      <c r="F163" s="1">
        <f>IF(D163="","",D163*$B$244)</f>
        <v/>
      </c>
      <c r="G163" s="1">
        <f>IF(F163="","",ROUND(F163*$B$246,0))</f>
        <v/>
      </c>
      <c r="H163" s="3">
        <f>IF(G163="","",ROUND(G163*10/1000,0))</f>
        <v/>
      </c>
      <c r="I163" s="3">
        <f>IF(G163="","",ROUND(G163*15/1000,0))</f>
        <v/>
      </c>
      <c r="J163" s="3">
        <f>IF(G163="","",ROUND(G163*20/1000,0))</f>
        <v/>
      </c>
      <c r="K163" s="1">
        <f>IF(F163="","",ROUND(F163*0.10,0))</f>
        <v/>
      </c>
      <c r="L163" s="3">
        <f>IF(K163="","",ROUND(K163*5/1000,0))</f>
        <v/>
      </c>
      <c r="M163" s="1">
        <f>IF(F163="","",ROUND(F163*$B$247,0))</f>
        <v/>
      </c>
      <c r="N163">
        <f>IF(M163="","",ROUND(M163*$B$248,0))</f>
        <v/>
      </c>
      <c r="O163">
        <f>IF(N163="","",ROUND(N163*$B$249,0))</f>
        <v/>
      </c>
      <c r="P163" s="3">
        <f>IF(O163="","",ROUND(O163*7.30,0))</f>
        <v/>
      </c>
      <c r="Q163" s="3">
        <f>IF(L163="","",L163+P163)</f>
        <v/>
      </c>
    </row>
    <row r="164">
      <c r="A164" s="1" t="inlineStr">
        <is>
          <t>Tier 3</t>
        </is>
      </c>
      <c r="B164" s="1" t="inlineStr">
        <is>
          <t>GY</t>
        </is>
      </c>
      <c r="C164" s="1" t="n">
        <v>14</v>
      </c>
      <c r="D164" s="1" t="n">
        <v>3</v>
      </c>
      <c r="E164" s="1">
        <f>IFERROR(ROUND(C164/D164,0),"")</f>
        <v/>
      </c>
      <c r="F164" s="1">
        <f>IF(D164="","",D164*$B$244)</f>
        <v/>
      </c>
      <c r="G164" s="1">
        <f>IF(F164="","",ROUND(F164*$B$246,0))</f>
        <v/>
      </c>
      <c r="H164" s="3">
        <f>IF(G164="","",ROUND(G164*10/1000,0))</f>
        <v/>
      </c>
      <c r="I164" s="3">
        <f>IF(G164="","",ROUND(G164*15/1000,0))</f>
        <v/>
      </c>
      <c r="J164" s="3">
        <f>IF(G164="","",ROUND(G164*20/1000,0))</f>
        <v/>
      </c>
      <c r="K164" s="1">
        <f>IF(F164="","",ROUND(F164*0.10,0))</f>
        <v/>
      </c>
      <c r="L164" s="3">
        <f>IF(K164="","",ROUND(K164*5/1000,0))</f>
        <v/>
      </c>
      <c r="M164" s="1">
        <f>IF(F164="","",ROUND(F164*$B$247,0))</f>
        <v/>
      </c>
      <c r="N164">
        <f>IF(M164="","",ROUND(M164*$B$248,0))</f>
        <v/>
      </c>
      <c r="O164">
        <f>IF(N164="","",ROUND(N164*$B$249,0))</f>
        <v/>
      </c>
      <c r="P164" s="3">
        <f>IF(O164="","",ROUND(O164*7.30,0))</f>
        <v/>
      </c>
      <c r="Q164" s="3">
        <f>IF(L164="","",L164+P164)</f>
        <v/>
      </c>
    </row>
    <row r="165">
      <c r="A165" s="1" t="inlineStr">
        <is>
          <t>Tier 3</t>
        </is>
      </c>
      <c r="B165" s="1" t="inlineStr">
        <is>
          <t>PF</t>
        </is>
      </c>
      <c r="C165" s="1" t="n">
        <v>14</v>
      </c>
      <c r="D165" s="1" t="n">
        <v>3</v>
      </c>
      <c r="E165" s="1">
        <f>IFERROR(ROUND(C165/D165,0),"")</f>
        <v/>
      </c>
      <c r="F165" s="1">
        <f>IF(D165="","",D165*$B$244)</f>
        <v/>
      </c>
      <c r="G165" s="1">
        <f>IF(F165="","",ROUND(F165*$B$246,0))</f>
        <v/>
      </c>
      <c r="H165" s="3">
        <f>IF(G165="","",ROUND(G165*10/1000,0))</f>
        <v/>
      </c>
      <c r="I165" s="3">
        <f>IF(G165="","",ROUND(G165*15/1000,0))</f>
        <v/>
      </c>
      <c r="J165" s="3">
        <f>IF(G165="","",ROUND(G165*20/1000,0))</f>
        <v/>
      </c>
      <c r="K165" s="1">
        <f>IF(F165="","",ROUND(F165*0.10,0))</f>
        <v/>
      </c>
      <c r="L165" s="3">
        <f>IF(K165="","",ROUND(K165*5/1000,0))</f>
        <v/>
      </c>
      <c r="M165" s="1">
        <f>IF(F165="","",ROUND(F165*$B$247,0))</f>
        <v/>
      </c>
      <c r="N165">
        <f>IF(M165="","",ROUND(M165*$B$248,0))</f>
        <v/>
      </c>
      <c r="O165">
        <f>IF(N165="","",ROUND(N165*$B$249,0))</f>
        <v/>
      </c>
      <c r="P165" s="3">
        <f>IF(O165="","",ROUND(O165*7.30,0))</f>
        <v/>
      </c>
      <c r="Q165" s="3">
        <f>IF(L165="","",L165+P165)</f>
        <v/>
      </c>
    </row>
    <row r="166">
      <c r="A166" s="1" t="inlineStr">
        <is>
          <t>Tier 3</t>
        </is>
      </c>
      <c r="B166" s="1" t="inlineStr">
        <is>
          <t>LR</t>
        </is>
      </c>
      <c r="C166" s="1" t="n">
        <v>8</v>
      </c>
      <c r="D166" s="1" t="n">
        <v>3</v>
      </c>
      <c r="E166" s="1">
        <f>IFERROR(ROUND(C166/D166,0),"")</f>
        <v/>
      </c>
      <c r="F166" s="1">
        <f>IF(D166="","",D166*$B$244)</f>
        <v/>
      </c>
      <c r="G166" s="1">
        <f>IF(F166="","",ROUND(F166*$B$246,0))</f>
        <v/>
      </c>
      <c r="H166" s="3">
        <f>IF(G166="","",ROUND(G166*10/1000,0))</f>
        <v/>
      </c>
      <c r="I166" s="3">
        <f>IF(G166="","",ROUND(G166*15/1000,0))</f>
        <v/>
      </c>
      <c r="J166" s="3">
        <f>IF(G166="","",ROUND(G166*20/1000,0))</f>
        <v/>
      </c>
      <c r="K166" s="1">
        <f>IF(F166="","",ROUND(F166*0.10,0))</f>
        <v/>
      </c>
      <c r="L166" s="3">
        <f>IF(K166="","",ROUND(K166*5/1000,0))</f>
        <v/>
      </c>
      <c r="M166" s="1">
        <f>IF(F166="","",ROUND(F166*$B$247,0))</f>
        <v/>
      </c>
      <c r="N166">
        <f>IF(M166="","",ROUND(M166*$B$248,0))</f>
        <v/>
      </c>
      <c r="O166">
        <f>IF(N166="","",ROUND(N166*$B$249,0))</f>
        <v/>
      </c>
      <c r="P166" s="3">
        <f>IF(O166="","",ROUND(O166*7.30,0))</f>
        <v/>
      </c>
      <c r="Q166" s="3">
        <f>IF(L166="","",L166+P166)</f>
        <v/>
      </c>
    </row>
    <row r="167">
      <c r="A167" s="1" t="inlineStr">
        <is>
          <t>Tier 3</t>
        </is>
      </c>
      <c r="B167" s="1" t="inlineStr">
        <is>
          <t>CU</t>
        </is>
      </c>
      <c r="C167" s="1" t="n">
        <v>5</v>
      </c>
      <c r="D167" s="1" t="n">
        <v>3</v>
      </c>
      <c r="E167" s="1">
        <f>IFERROR(ROUND(C167/D167,0),"")</f>
        <v/>
      </c>
      <c r="F167" s="1">
        <f>IF(D167="","",D167*$B$244)</f>
        <v/>
      </c>
      <c r="G167" s="1">
        <f>IF(F167="","",ROUND(F167*$B$246,0))</f>
        <v/>
      </c>
      <c r="H167" s="3">
        <f>IF(G167="","",ROUND(G167*10/1000,0))</f>
        <v/>
      </c>
      <c r="I167" s="3">
        <f>IF(G167="","",ROUND(G167*15/1000,0))</f>
        <v/>
      </c>
      <c r="J167" s="3">
        <f>IF(G167="","",ROUND(G167*20/1000,0))</f>
        <v/>
      </c>
      <c r="K167" s="1">
        <f>IF(F167="","",ROUND(F167*0.10,0))</f>
        <v/>
      </c>
      <c r="L167" s="3">
        <f>IF(K167="","",ROUND(K167*5/1000,0))</f>
        <v/>
      </c>
      <c r="M167" s="1">
        <f>IF(F167="","",ROUND(F167*$B$247,0))</f>
        <v/>
      </c>
      <c r="N167">
        <f>IF(M167="","",ROUND(M167*$B$248,0))</f>
        <v/>
      </c>
      <c r="O167">
        <f>IF(N167="","",ROUND(N167*$B$249,0))</f>
        <v/>
      </c>
      <c r="P167" s="3">
        <f>IF(O167="","",ROUND(O167*7.30,0))</f>
        <v/>
      </c>
      <c r="Q167" s="3">
        <f>IF(L167="","",L167+P167)</f>
        <v/>
      </c>
    </row>
    <row r="168">
      <c r="A168" s="1" t="inlineStr">
        <is>
          <t>Tier 3</t>
        </is>
      </c>
      <c r="B168" s="1" t="inlineStr">
        <is>
          <t>MR</t>
        </is>
      </c>
      <c r="C168" s="1" t="n">
        <v>229</v>
      </c>
      <c r="D168" s="1" t="n">
        <v>2</v>
      </c>
      <c r="E168" s="1">
        <f>IFERROR(ROUND(C168/D168,0),"")</f>
        <v/>
      </c>
      <c r="F168" s="1">
        <f>IF(D168="","",D168*$B$244)</f>
        <v/>
      </c>
      <c r="G168" s="1">
        <f>IF(F168="","",ROUND(F168*$B$246,0))</f>
        <v/>
      </c>
      <c r="H168" s="3">
        <f>IF(G168="","",ROUND(G168*10/1000,0))</f>
        <v/>
      </c>
      <c r="I168" s="3">
        <f>IF(G168="","",ROUND(G168*15/1000,0))</f>
        <v/>
      </c>
      <c r="J168" s="3">
        <f>IF(G168="","",ROUND(G168*20/1000,0))</f>
        <v/>
      </c>
      <c r="K168" s="1">
        <f>IF(F168="","",ROUND(F168*0.10,0))</f>
        <v/>
      </c>
      <c r="L168" s="3">
        <f>IF(K168="","",ROUND(K168*5/1000,0))</f>
        <v/>
      </c>
      <c r="M168" s="1">
        <f>IF(F168="","",ROUND(F168*$B$247,0))</f>
        <v/>
      </c>
      <c r="N168">
        <f>IF(M168="","",ROUND(M168*$B$248,0))</f>
        <v/>
      </c>
      <c r="O168">
        <f>IF(N168="","",ROUND(N168*$B$249,0))</f>
        <v/>
      </c>
      <c r="P168" s="3">
        <f>IF(O168="","",ROUND(O168*7.30,0))</f>
        <v/>
      </c>
      <c r="Q168" s="3">
        <f>IF(L168="","",L168+P168)</f>
        <v/>
      </c>
    </row>
    <row r="169">
      <c r="A169" s="1" t="inlineStr">
        <is>
          <t>Tier 3</t>
        </is>
      </c>
      <c r="B169" s="1" t="inlineStr">
        <is>
          <t>DJ</t>
        </is>
      </c>
      <c r="C169" s="1" t="n">
        <v>76</v>
      </c>
      <c r="D169" s="1" t="n">
        <v>2</v>
      </c>
      <c r="E169" s="1">
        <f>IFERROR(ROUND(C169/D169,0),"")</f>
        <v/>
      </c>
      <c r="F169" s="1">
        <f>IF(D169="","",D169*$B$244)</f>
        <v/>
      </c>
      <c r="G169" s="1">
        <f>IF(F169="","",ROUND(F169*$B$246,0))</f>
        <v/>
      </c>
      <c r="H169" s="3">
        <f>IF(G169="","",ROUND(G169*10/1000,0))</f>
        <v/>
      </c>
      <c r="I169" s="3">
        <f>IF(G169="","",ROUND(G169*15/1000,0))</f>
        <v/>
      </c>
      <c r="J169" s="3">
        <f>IF(G169="","",ROUND(G169*20/1000,0))</f>
        <v/>
      </c>
      <c r="K169" s="1">
        <f>IF(F169="","",ROUND(F169*0.10,0))</f>
        <v/>
      </c>
      <c r="L169" s="3">
        <f>IF(K169="","",ROUND(K169*5/1000,0))</f>
        <v/>
      </c>
      <c r="M169" s="1">
        <f>IF(F169="","",ROUND(F169*$B$247,0))</f>
        <v/>
      </c>
      <c r="N169">
        <f>IF(M169="","",ROUND(M169*$B$248,0))</f>
        <v/>
      </c>
      <c r="O169">
        <f>IF(N169="","",ROUND(N169*$B$249,0))</f>
        <v/>
      </c>
      <c r="P169" s="3">
        <f>IF(O169="","",ROUND(O169*7.30,0))</f>
        <v/>
      </c>
      <c r="Q169" s="3">
        <f>IF(L169="","",L169+P169)</f>
        <v/>
      </c>
    </row>
    <row r="170">
      <c r="A170" s="1" t="inlineStr">
        <is>
          <t>Tier 3</t>
        </is>
      </c>
      <c r="B170" s="1" t="inlineStr">
        <is>
          <t>ca</t>
        </is>
      </c>
      <c r="C170" s="1" t="n">
        <v>71</v>
      </c>
      <c r="D170" s="1" t="n">
        <v>2</v>
      </c>
      <c r="E170" s="1">
        <f>IFERROR(ROUND(C170/D170,0),"")</f>
        <v/>
      </c>
      <c r="F170" s="1">
        <f>IF(D170="","",D170*$B$244)</f>
        <v/>
      </c>
      <c r="G170" s="1">
        <f>IF(F170="","",ROUND(F170*$B$246,0))</f>
        <v/>
      </c>
      <c r="H170" s="3">
        <f>IF(G170="","",ROUND(G170*10/1000,0))</f>
        <v/>
      </c>
      <c r="I170" s="3">
        <f>IF(G170="","",ROUND(G170*15/1000,0))</f>
        <v/>
      </c>
      <c r="J170" s="3">
        <f>IF(G170="","",ROUND(G170*20/1000,0))</f>
        <v/>
      </c>
      <c r="K170" s="1">
        <f>IF(F170="","",ROUND(F170*0.10,0))</f>
        <v/>
      </c>
      <c r="L170" s="3">
        <f>IF(K170="","",ROUND(K170*5/1000,0))</f>
        <v/>
      </c>
      <c r="M170" s="1">
        <f>IF(F170="","",ROUND(F170*$B$247,0))</f>
        <v/>
      </c>
      <c r="N170">
        <f>IF(M170="","",ROUND(M170*$B$248,0))</f>
        <v/>
      </c>
      <c r="O170">
        <f>IF(N170="","",ROUND(N170*$B$249,0))</f>
        <v/>
      </c>
      <c r="P170" s="3">
        <f>IF(O170="","",ROUND(O170*7.30,0))</f>
        <v/>
      </c>
      <c r="Q170" s="3">
        <f>IF(L170="","",L170+P170)</f>
        <v/>
      </c>
    </row>
    <row r="171">
      <c r="A171" s="1" t="inlineStr">
        <is>
          <t>Tier 3</t>
        </is>
      </c>
      <c r="B171" s="1" t="inlineStr">
        <is>
          <t>MG</t>
        </is>
      </c>
      <c r="C171" s="1" t="n">
        <v>63</v>
      </c>
      <c r="D171" s="1" t="n">
        <v>2</v>
      </c>
      <c r="E171" s="1">
        <f>IFERROR(ROUND(C171/D171,0),"")</f>
        <v/>
      </c>
      <c r="F171" s="1">
        <f>IF(D171="","",D171*$B$244)</f>
        <v/>
      </c>
      <c r="G171" s="1">
        <f>IF(F171="","",ROUND(F171*$B$246,0))</f>
        <v/>
      </c>
      <c r="H171" s="3">
        <f>IF(G171="","",ROUND(G171*10/1000,0))</f>
        <v/>
      </c>
      <c r="I171" s="3">
        <f>IF(G171="","",ROUND(G171*15/1000,0))</f>
        <v/>
      </c>
      <c r="J171" s="3">
        <f>IF(G171="","",ROUND(G171*20/1000,0))</f>
        <v/>
      </c>
      <c r="K171" s="1">
        <f>IF(F171="","",ROUND(F171*0.10,0))</f>
        <v/>
      </c>
      <c r="L171" s="3">
        <f>IF(K171="","",ROUND(K171*5/1000,0))</f>
        <v/>
      </c>
      <c r="M171" s="1">
        <f>IF(F171="","",ROUND(F171*$B$247,0))</f>
        <v/>
      </c>
      <c r="N171">
        <f>IF(M171="","",ROUND(M171*$B$248,0))</f>
        <v/>
      </c>
      <c r="O171">
        <f>IF(N171="","",ROUND(N171*$B$249,0))</f>
        <v/>
      </c>
      <c r="P171" s="3">
        <f>IF(O171="","",ROUND(O171*7.30,0))</f>
        <v/>
      </c>
      <c r="Q171" s="3">
        <f>IF(L171="","",L171+P171)</f>
        <v/>
      </c>
    </row>
    <row r="172">
      <c r="A172" s="1" t="inlineStr">
        <is>
          <t>Tier 3</t>
        </is>
      </c>
      <c r="B172" s="1" t="inlineStr">
        <is>
          <t>nl</t>
        </is>
      </c>
      <c r="C172" s="1" t="n">
        <v>56</v>
      </c>
      <c r="D172" s="1" t="n">
        <v>2</v>
      </c>
      <c r="E172" s="1">
        <f>IFERROR(ROUND(C172/D172,0),"")</f>
        <v/>
      </c>
      <c r="F172" s="1">
        <f>IF(D172="","",D172*$B$244)</f>
        <v/>
      </c>
      <c r="G172" s="1">
        <f>IF(F172="","",ROUND(F172*$B$246,0))</f>
        <v/>
      </c>
      <c r="H172" s="3">
        <f>IF(G172="","",ROUND(G172*10/1000,0))</f>
        <v/>
      </c>
      <c r="I172" s="3">
        <f>IF(G172="","",ROUND(G172*15/1000,0))</f>
        <v/>
      </c>
      <c r="J172" s="3">
        <f>IF(G172="","",ROUND(G172*20/1000,0))</f>
        <v/>
      </c>
      <c r="K172" s="1">
        <f>IF(F172="","",ROUND(F172*0.10,0))</f>
        <v/>
      </c>
      <c r="L172" s="3">
        <f>IF(K172="","",ROUND(K172*5/1000,0))</f>
        <v/>
      </c>
      <c r="M172" s="1">
        <f>IF(F172="","",ROUND(F172*$B$247,0))</f>
        <v/>
      </c>
      <c r="N172">
        <f>IF(M172="","",ROUND(M172*$B$248,0))</f>
        <v/>
      </c>
      <c r="O172">
        <f>IF(N172="","",ROUND(N172*$B$249,0))</f>
        <v/>
      </c>
      <c r="P172" s="3">
        <f>IF(O172="","",ROUND(O172*7.30,0))</f>
        <v/>
      </c>
      <c r="Q172" s="3">
        <f>IF(L172="","",L172+P172)</f>
        <v/>
      </c>
    </row>
    <row r="173">
      <c r="A173" s="1" t="inlineStr">
        <is>
          <t>Tier 3</t>
        </is>
      </c>
      <c r="B173" s="1" t="inlineStr">
        <is>
          <t>AW</t>
        </is>
      </c>
      <c r="C173" s="1" t="n">
        <v>54</v>
      </c>
      <c r="D173" s="1" t="n">
        <v>2</v>
      </c>
      <c r="E173" s="1">
        <f>IFERROR(ROUND(C173/D173,0),"")</f>
        <v/>
      </c>
      <c r="F173" s="1">
        <f>IF(D173="","",D173*$B$244)</f>
        <v/>
      </c>
      <c r="G173" s="1">
        <f>IF(F173="","",ROUND(F173*$B$246,0))</f>
        <v/>
      </c>
      <c r="H173" s="3">
        <f>IF(G173="","",ROUND(G173*10/1000,0))</f>
        <v/>
      </c>
      <c r="I173" s="3">
        <f>IF(G173="","",ROUND(G173*15/1000,0))</f>
        <v/>
      </c>
      <c r="J173" s="3">
        <f>IF(G173="","",ROUND(G173*20/1000,0))</f>
        <v/>
      </c>
      <c r="K173" s="1">
        <f>IF(F173="","",ROUND(F173*0.10,0))</f>
        <v/>
      </c>
      <c r="L173" s="3">
        <f>IF(K173="","",ROUND(K173*5/1000,0))</f>
        <v/>
      </c>
      <c r="M173" s="1">
        <f>IF(F173="","",ROUND(F173*$B$247,0))</f>
        <v/>
      </c>
      <c r="N173">
        <f>IF(M173="","",ROUND(M173*$B$248,0))</f>
        <v/>
      </c>
      <c r="O173">
        <f>IF(N173="","",ROUND(N173*$B$249,0))</f>
        <v/>
      </c>
      <c r="P173" s="3">
        <f>IF(O173="","",ROUND(O173*7.30,0))</f>
        <v/>
      </c>
      <c r="Q173" s="3">
        <f>IF(L173="","",L173+P173)</f>
        <v/>
      </c>
    </row>
    <row r="174">
      <c r="A174" s="1" t="inlineStr">
        <is>
          <t>Tier 3</t>
        </is>
      </c>
      <c r="B174" s="1" t="inlineStr">
        <is>
          <t>il</t>
        </is>
      </c>
      <c r="C174" s="1" t="n">
        <v>54</v>
      </c>
      <c r="D174" s="1" t="n">
        <v>2</v>
      </c>
      <c r="E174" s="1">
        <f>IFERROR(ROUND(C174/D174,0),"")</f>
        <v/>
      </c>
      <c r="F174" s="1">
        <f>IF(D174="","",D174*$B$244)</f>
        <v/>
      </c>
      <c r="G174" s="1">
        <f>IF(F174="","",ROUND(F174*$B$246,0))</f>
        <v/>
      </c>
      <c r="H174" s="3">
        <f>IF(G174="","",ROUND(G174*10/1000,0))</f>
        <v/>
      </c>
      <c r="I174" s="3">
        <f>IF(G174="","",ROUND(G174*15/1000,0))</f>
        <v/>
      </c>
      <c r="J174" s="3">
        <f>IF(G174="","",ROUND(G174*20/1000,0))</f>
        <v/>
      </c>
      <c r="K174" s="1">
        <f>IF(F174="","",ROUND(F174*0.10,0))</f>
        <v/>
      </c>
      <c r="L174" s="3">
        <f>IF(K174="","",ROUND(K174*5/1000,0))</f>
        <v/>
      </c>
      <c r="M174" s="1">
        <f>IF(F174="","",ROUND(F174*$B$247,0))</f>
        <v/>
      </c>
      <c r="N174">
        <f>IF(M174="","",ROUND(M174*$B$248,0))</f>
        <v/>
      </c>
      <c r="O174">
        <f>IF(N174="","",ROUND(N174*$B$249,0))</f>
        <v/>
      </c>
      <c r="P174" s="3">
        <f>IF(O174="","",ROUND(O174*7.30,0))</f>
        <v/>
      </c>
      <c r="Q174" s="3">
        <f>IF(L174="","",L174+P174)</f>
        <v/>
      </c>
    </row>
    <row r="175">
      <c r="A175" s="1" t="inlineStr">
        <is>
          <t>Tier 3</t>
        </is>
      </c>
      <c r="B175" s="1" t="inlineStr">
        <is>
          <t>BQ</t>
        </is>
      </c>
      <c r="C175" s="1" t="n">
        <v>49</v>
      </c>
      <c r="D175" s="1" t="n">
        <v>2</v>
      </c>
      <c r="E175" s="1">
        <f>IFERROR(ROUND(C175/D175,0),"")</f>
        <v/>
      </c>
      <c r="F175" s="1">
        <f>IF(D175="","",D175*$B$244)</f>
        <v/>
      </c>
      <c r="G175" s="1">
        <f>IF(F175="","",ROUND(F175*$B$246,0))</f>
        <v/>
      </c>
      <c r="H175" s="3">
        <f>IF(G175="","",ROUND(G175*10/1000,0))</f>
        <v/>
      </c>
      <c r="I175" s="3">
        <f>IF(G175="","",ROUND(G175*15/1000,0))</f>
        <v/>
      </c>
      <c r="J175" s="3">
        <f>IF(G175="","",ROUND(G175*20/1000,0))</f>
        <v/>
      </c>
      <c r="K175" s="1">
        <f>IF(F175="","",ROUND(F175*0.10,0))</f>
        <v/>
      </c>
      <c r="L175" s="3">
        <f>IF(K175="","",ROUND(K175*5/1000,0))</f>
        <v/>
      </c>
      <c r="M175" s="1">
        <f>IF(F175="","",ROUND(F175*$B$247,0))</f>
        <v/>
      </c>
      <c r="N175">
        <f>IF(M175="","",ROUND(M175*$B$248,0))</f>
        <v/>
      </c>
      <c r="O175">
        <f>IF(N175="","",ROUND(N175*$B$249,0))</f>
        <v/>
      </c>
      <c r="P175" s="3">
        <f>IF(O175="","",ROUND(O175*7.30,0))</f>
        <v/>
      </c>
      <c r="Q175" s="3">
        <f>IF(L175="","",L175+P175)</f>
        <v/>
      </c>
    </row>
    <row r="176">
      <c r="A176" s="1" t="inlineStr">
        <is>
          <t>Tier 3</t>
        </is>
      </c>
      <c r="B176" s="1" t="inlineStr">
        <is>
          <t>BM</t>
        </is>
      </c>
      <c r="C176" s="1" t="n">
        <v>33</v>
      </c>
      <c r="D176" s="1" t="n">
        <v>2</v>
      </c>
      <c r="E176" s="1">
        <f>IFERROR(ROUND(C176/D176,0),"")</f>
        <v/>
      </c>
      <c r="F176" s="1">
        <f>IF(D176="","",D176*$B$244)</f>
        <v/>
      </c>
      <c r="G176" s="1">
        <f>IF(F176="","",ROUND(F176*$B$246,0))</f>
        <v/>
      </c>
      <c r="H176" s="3">
        <f>IF(G176="","",ROUND(G176*10/1000,0))</f>
        <v/>
      </c>
      <c r="I176" s="3">
        <f>IF(G176="","",ROUND(G176*15/1000,0))</f>
        <v/>
      </c>
      <c r="J176" s="3">
        <f>IF(G176="","",ROUND(G176*20/1000,0))</f>
        <v/>
      </c>
      <c r="K176" s="1">
        <f>IF(F176="","",ROUND(F176*0.10,0))</f>
        <v/>
      </c>
      <c r="L176" s="3">
        <f>IF(K176="","",ROUND(K176*5/1000,0))</f>
        <v/>
      </c>
      <c r="M176" s="1">
        <f>IF(F176="","",ROUND(F176*$B$247,0))</f>
        <v/>
      </c>
      <c r="N176">
        <f>IF(M176="","",ROUND(M176*$B$248,0))</f>
        <v/>
      </c>
      <c r="O176">
        <f>IF(N176="","",ROUND(N176*$B$249,0))</f>
        <v/>
      </c>
      <c r="P176" s="3">
        <f>IF(O176="","",ROUND(O176*7.30,0))</f>
        <v/>
      </c>
      <c r="Q176" s="3">
        <f>IF(L176="","",L176+P176)</f>
        <v/>
      </c>
    </row>
    <row r="177">
      <c r="A177" s="1" t="inlineStr">
        <is>
          <t>Tier 3</t>
        </is>
      </c>
      <c r="B177" s="1" t="inlineStr">
        <is>
          <t>SR</t>
        </is>
      </c>
      <c r="C177" s="1" t="n">
        <v>15</v>
      </c>
      <c r="D177" s="1" t="n">
        <v>2</v>
      </c>
      <c r="E177" s="1">
        <f>IFERROR(ROUND(C177/D177,0),"")</f>
        <v/>
      </c>
      <c r="F177" s="1">
        <f>IF(D177="","",D177*$B$244)</f>
        <v/>
      </c>
      <c r="G177" s="1">
        <f>IF(F177="","",ROUND(F177*$B$246,0))</f>
        <v/>
      </c>
      <c r="H177" s="3">
        <f>IF(G177="","",ROUND(G177*10/1000,0))</f>
        <v/>
      </c>
      <c r="I177" s="3">
        <f>IF(G177="","",ROUND(G177*15/1000,0))</f>
        <v/>
      </c>
      <c r="J177" s="3">
        <f>IF(G177="","",ROUND(G177*20/1000,0))</f>
        <v/>
      </c>
      <c r="K177" s="1">
        <f>IF(F177="","",ROUND(F177*0.10,0))</f>
        <v/>
      </c>
      <c r="L177" s="3">
        <f>IF(K177="","",ROUND(K177*5/1000,0))</f>
        <v/>
      </c>
      <c r="M177" s="1">
        <f>IF(F177="","",ROUND(F177*$B$247,0))</f>
        <v/>
      </c>
      <c r="N177">
        <f>IF(M177="","",ROUND(M177*$B$248,0))</f>
        <v/>
      </c>
      <c r="O177">
        <f>IF(N177="","",ROUND(N177*$B$249,0))</f>
        <v/>
      </c>
      <c r="P177" s="3">
        <f>IF(O177="","",ROUND(O177*7.30,0))</f>
        <v/>
      </c>
      <c r="Q177" s="3">
        <f>IF(L177="","",L177+P177)</f>
        <v/>
      </c>
    </row>
    <row r="178">
      <c r="A178" s="1" t="inlineStr">
        <is>
          <t>Tier 3</t>
        </is>
      </c>
      <c r="B178" s="1" t="inlineStr">
        <is>
          <t>ML</t>
        </is>
      </c>
      <c r="C178" s="1" t="n">
        <v>7</v>
      </c>
      <c r="D178" s="1" t="n">
        <v>2</v>
      </c>
      <c r="E178" s="1">
        <f>IFERROR(ROUND(C178/D178,0),"")</f>
        <v/>
      </c>
      <c r="F178" s="1">
        <f>IF(D178="","",D178*$B$244)</f>
        <v/>
      </c>
      <c r="G178" s="1">
        <f>IF(F178="","",ROUND(F178*$B$246,0))</f>
        <v/>
      </c>
      <c r="H178" s="3">
        <f>IF(G178="","",ROUND(G178*10/1000,0))</f>
        <v/>
      </c>
      <c r="I178" s="3">
        <f>IF(G178="","",ROUND(G178*15/1000,0))</f>
        <v/>
      </c>
      <c r="J178" s="3">
        <f>IF(G178="","",ROUND(G178*20/1000,0))</f>
        <v/>
      </c>
      <c r="K178" s="1">
        <f>IF(F178="","",ROUND(F178*0.10,0))</f>
        <v/>
      </c>
      <c r="L178" s="3">
        <f>IF(K178="","",ROUND(K178*5/1000,0))</f>
        <v/>
      </c>
      <c r="M178" s="1">
        <f>IF(F178="","",ROUND(F178*$B$247,0))</f>
        <v/>
      </c>
      <c r="N178">
        <f>IF(M178="","",ROUND(M178*$B$248,0))</f>
        <v/>
      </c>
      <c r="O178">
        <f>IF(N178="","",ROUND(N178*$B$249,0))</f>
        <v/>
      </c>
      <c r="P178" s="3">
        <f>IF(O178="","",ROUND(O178*7.30,0))</f>
        <v/>
      </c>
      <c r="Q178" s="3">
        <f>IF(L178="","",L178+P178)</f>
        <v/>
      </c>
    </row>
    <row r="179">
      <c r="A179" s="1" t="inlineStr">
        <is>
          <t>Tier 3</t>
        </is>
      </c>
      <c r="B179" s="1" t="inlineStr">
        <is>
          <t>ZW</t>
        </is>
      </c>
      <c r="C179" s="1" t="n">
        <v>6</v>
      </c>
      <c r="D179" s="1" t="n">
        <v>2</v>
      </c>
      <c r="E179" s="1">
        <f>IFERROR(ROUND(C179/D179,0),"")</f>
        <v/>
      </c>
      <c r="F179" s="1">
        <f>IF(D179="","",D179*$B$244)</f>
        <v/>
      </c>
      <c r="G179" s="1">
        <f>IF(F179="","",ROUND(F179*$B$246,0))</f>
        <v/>
      </c>
      <c r="H179" s="3">
        <f>IF(G179="","",ROUND(G179*10/1000,0))</f>
        <v/>
      </c>
      <c r="I179" s="3">
        <f>IF(G179="","",ROUND(G179*15/1000,0))</f>
        <v/>
      </c>
      <c r="J179" s="3">
        <f>IF(G179="","",ROUND(G179*20/1000,0))</f>
        <v/>
      </c>
      <c r="K179" s="1">
        <f>IF(F179="","",ROUND(F179*0.10,0))</f>
        <v/>
      </c>
      <c r="L179" s="3">
        <f>IF(K179="","",ROUND(K179*5/1000,0))</f>
        <v/>
      </c>
      <c r="M179" s="1">
        <f>IF(F179="","",ROUND(F179*$B$247,0))</f>
        <v/>
      </c>
      <c r="N179">
        <f>IF(M179="","",ROUND(M179*$B$248,0))</f>
        <v/>
      </c>
      <c r="O179">
        <f>IF(N179="","",ROUND(N179*$B$249,0))</f>
        <v/>
      </c>
      <c r="P179" s="3">
        <f>IF(O179="","",ROUND(O179*7.30,0))</f>
        <v/>
      </c>
      <c r="Q179" s="3">
        <f>IF(L179="","",L179+P179)</f>
        <v/>
      </c>
    </row>
    <row r="180">
      <c r="A180" s="1" t="inlineStr">
        <is>
          <t>Tier 3</t>
        </is>
      </c>
      <c r="B180" s="1" t="inlineStr">
        <is>
          <t>GN</t>
        </is>
      </c>
      <c r="C180" s="1" t="n">
        <v>5</v>
      </c>
      <c r="D180" s="1" t="n">
        <v>2</v>
      </c>
      <c r="E180" s="1">
        <f>IFERROR(ROUND(C180/D180,0),"")</f>
        <v/>
      </c>
      <c r="F180" s="1">
        <f>IF(D180="","",D180*$B$244)</f>
        <v/>
      </c>
      <c r="G180" s="1">
        <f>IF(F180="","",ROUND(F180*$B$246,0))</f>
        <v/>
      </c>
      <c r="H180" s="3">
        <f>IF(G180="","",ROUND(G180*10/1000,0))</f>
        <v/>
      </c>
      <c r="I180" s="3">
        <f>IF(G180="","",ROUND(G180*15/1000,0))</f>
        <v/>
      </c>
      <c r="J180" s="3">
        <f>IF(G180="","",ROUND(G180*20/1000,0))</f>
        <v/>
      </c>
      <c r="K180" s="1">
        <f>IF(F180="","",ROUND(F180*0.10,0))</f>
        <v/>
      </c>
      <c r="L180" s="3">
        <f>IF(K180="","",ROUND(K180*5/1000,0))</f>
        <v/>
      </c>
      <c r="M180" s="1">
        <f>IF(F180="","",ROUND(F180*$B$247,0))</f>
        <v/>
      </c>
      <c r="N180">
        <f>IF(M180="","",ROUND(M180*$B$248,0))</f>
        <v/>
      </c>
      <c r="O180">
        <f>IF(N180="","",ROUND(N180*$B$249,0))</f>
        <v/>
      </c>
      <c r="P180" s="3">
        <f>IF(O180="","",ROUND(O180*7.30,0))</f>
        <v/>
      </c>
      <c r="Q180" s="3">
        <f>IF(L180="","",L180+P180)</f>
        <v/>
      </c>
    </row>
    <row r="181">
      <c r="A181" s="1" t="inlineStr">
        <is>
          <t>Tier 3</t>
        </is>
      </c>
      <c r="B181" s="1" t="inlineStr">
        <is>
          <t>BL</t>
        </is>
      </c>
      <c r="C181" s="1" t="n">
        <v>3</v>
      </c>
      <c r="D181" s="1" t="n">
        <v>2</v>
      </c>
      <c r="E181" s="1">
        <f>IFERROR(ROUND(C181/D181,0),"")</f>
        <v/>
      </c>
      <c r="F181" s="1">
        <f>IF(D181="","",D181*$B$244)</f>
        <v/>
      </c>
      <c r="G181" s="1">
        <f>IF(F181="","",ROUND(F181*$B$246,0))</f>
        <v/>
      </c>
      <c r="H181" s="3">
        <f>IF(G181="","",ROUND(G181*10/1000,0))</f>
        <v/>
      </c>
      <c r="I181" s="3">
        <f>IF(G181="","",ROUND(G181*15/1000,0))</f>
        <v/>
      </c>
      <c r="J181" s="3">
        <f>IF(G181="","",ROUND(G181*20/1000,0))</f>
        <v/>
      </c>
      <c r="K181" s="1">
        <f>IF(F181="","",ROUND(F181*0.10,0))</f>
        <v/>
      </c>
      <c r="L181" s="3">
        <f>IF(K181="","",ROUND(K181*5/1000,0))</f>
        <v/>
      </c>
      <c r="M181" s="1">
        <f>IF(F181="","",ROUND(F181*$B$247,0))</f>
        <v/>
      </c>
      <c r="N181">
        <f>IF(M181="","",ROUND(M181*$B$248,0))</f>
        <v/>
      </c>
      <c r="O181">
        <f>IF(N181="","",ROUND(N181*$B$249,0))</f>
        <v/>
      </c>
      <c r="P181" s="3">
        <f>IF(O181="","",ROUND(O181*7.30,0))</f>
        <v/>
      </c>
      <c r="Q181" s="3">
        <f>IF(L181="","",L181+P181)</f>
        <v/>
      </c>
    </row>
    <row r="182">
      <c r="A182" s="1" t="inlineStr">
        <is>
          <t>Tier 3</t>
        </is>
      </c>
      <c r="B182" s="1" t="inlineStr">
        <is>
          <t>hr</t>
        </is>
      </c>
      <c r="C182" s="1" t="n">
        <v>95</v>
      </c>
      <c r="D182" s="1" t="n">
        <v>1</v>
      </c>
      <c r="E182" s="1">
        <f>IFERROR(ROUND(C182/D182,0),"")</f>
        <v/>
      </c>
      <c r="F182" s="1">
        <f>IF(D182="","",D182*$B$244)</f>
        <v/>
      </c>
      <c r="G182" s="1">
        <f>IF(F182="","",ROUND(F182*$B$246,0))</f>
        <v/>
      </c>
      <c r="H182" s="3">
        <f>IF(G182="","",ROUND(G182*10/1000,0))</f>
        <v/>
      </c>
      <c r="I182" s="3">
        <f>IF(G182="","",ROUND(G182*15/1000,0))</f>
        <v/>
      </c>
      <c r="J182" s="3">
        <f>IF(G182="","",ROUND(G182*20/1000,0))</f>
        <v/>
      </c>
      <c r="K182" s="1">
        <f>IF(F182="","",ROUND(F182*0.10,0))</f>
        <v/>
      </c>
      <c r="L182" s="3">
        <f>IF(K182="","",ROUND(K182*5/1000,0))</f>
        <v/>
      </c>
      <c r="M182" s="1">
        <f>IF(F182="","",ROUND(F182*$B$247,0))</f>
        <v/>
      </c>
      <c r="N182">
        <f>IF(M182="","",ROUND(M182*$B$248,0))</f>
        <v/>
      </c>
      <c r="O182">
        <f>IF(N182="","",ROUND(N182*$B$249,0))</f>
        <v/>
      </c>
      <c r="P182" s="3">
        <f>IF(O182="","",ROUND(O182*7.30,0))</f>
        <v/>
      </c>
      <c r="Q182" s="3">
        <f>IF(L182="","",L182+P182)</f>
        <v/>
      </c>
    </row>
    <row r="183">
      <c r="A183" s="1" t="inlineStr">
        <is>
          <t>Tier 3</t>
        </is>
      </c>
      <c r="B183" s="1" t="inlineStr">
        <is>
          <t>pt</t>
        </is>
      </c>
      <c r="C183" s="1" t="n">
        <v>92</v>
      </c>
      <c r="D183" s="1" t="n">
        <v>1</v>
      </c>
      <c r="E183" s="1">
        <f>IFERROR(ROUND(C183/D183,0),"")</f>
        <v/>
      </c>
      <c r="F183" s="1">
        <f>IF(D183="","",D183*$B$244)</f>
        <v/>
      </c>
      <c r="G183" s="1">
        <f>IF(F183="","",ROUND(F183*$B$246,0))</f>
        <v/>
      </c>
      <c r="H183" s="3">
        <f>IF(G183="","",ROUND(G183*10/1000,0))</f>
        <v/>
      </c>
      <c r="I183" s="3">
        <f>IF(G183="","",ROUND(G183*15/1000,0))</f>
        <v/>
      </c>
      <c r="J183" s="3">
        <f>IF(G183="","",ROUND(G183*20/1000,0))</f>
        <v/>
      </c>
      <c r="K183" s="1">
        <f>IF(F183="","",ROUND(F183*0.10,0))</f>
        <v/>
      </c>
      <c r="L183" s="3">
        <f>IF(K183="","",ROUND(K183*5/1000,0))</f>
        <v/>
      </c>
      <c r="M183" s="1">
        <f>IF(F183="","",ROUND(F183*$B$247,0))</f>
        <v/>
      </c>
      <c r="N183">
        <f>IF(M183="","",ROUND(M183*$B$248,0))</f>
        <v/>
      </c>
      <c r="O183">
        <f>IF(N183="","",ROUND(N183*$B$249,0))</f>
        <v/>
      </c>
      <c r="P183" s="3">
        <f>IF(O183="","",ROUND(O183*7.30,0))</f>
        <v/>
      </c>
      <c r="Q183" s="3">
        <f>IF(L183="","",L183+P183)</f>
        <v/>
      </c>
    </row>
    <row r="184">
      <c r="A184" s="1" t="inlineStr">
        <is>
          <t>Tier 3</t>
        </is>
      </c>
      <c r="B184" s="1" t="inlineStr">
        <is>
          <t>me</t>
        </is>
      </c>
      <c r="C184" s="1" t="n">
        <v>57</v>
      </c>
      <c r="D184" s="1" t="n">
        <v>1</v>
      </c>
      <c r="E184" s="1">
        <f>IFERROR(ROUND(C184/D184,0),"")</f>
        <v/>
      </c>
      <c r="F184" s="1">
        <f>IF(D184="","",D184*$B$244)</f>
        <v/>
      </c>
      <c r="G184" s="1">
        <f>IF(F184="","",ROUND(F184*$B$246,0))</f>
        <v/>
      </c>
      <c r="H184" s="3">
        <f>IF(G184="","",ROUND(G184*10/1000,0))</f>
        <v/>
      </c>
      <c r="I184" s="3">
        <f>IF(G184="","",ROUND(G184*15/1000,0))</f>
        <v/>
      </c>
      <c r="J184" s="3">
        <f>IF(G184="","",ROUND(G184*20/1000,0))</f>
        <v/>
      </c>
      <c r="K184" s="1">
        <f>IF(F184="","",ROUND(F184*0.10,0))</f>
        <v/>
      </c>
      <c r="L184" s="3">
        <f>IF(K184="","",ROUND(K184*5/1000,0))</f>
        <v/>
      </c>
      <c r="M184" s="1">
        <f>IF(F184="","",ROUND(F184*$B$247,0))</f>
        <v/>
      </c>
      <c r="N184">
        <f>IF(M184="","",ROUND(M184*$B$248,0))</f>
        <v/>
      </c>
      <c r="O184">
        <f>IF(N184="","",ROUND(N184*$B$249,0))</f>
        <v/>
      </c>
      <c r="P184" s="3">
        <f>IF(O184="","",ROUND(O184*7.30,0))</f>
        <v/>
      </c>
      <c r="Q184" s="3">
        <f>IF(L184="","",L184+P184)</f>
        <v/>
      </c>
    </row>
    <row r="185">
      <c r="A185" s="1" t="inlineStr">
        <is>
          <t>Tier 3</t>
        </is>
      </c>
      <c r="B185" s="1" t="inlineStr">
        <is>
          <t>mk</t>
        </is>
      </c>
      <c r="C185" s="1" t="n">
        <v>43</v>
      </c>
      <c r="D185" s="1" t="n">
        <v>1</v>
      </c>
      <c r="E185" s="1">
        <f>IFERROR(ROUND(C185/D185,0),"")</f>
        <v/>
      </c>
      <c r="F185" s="1">
        <f>IF(D185="","",D185*$B$244)</f>
        <v/>
      </c>
      <c r="G185" s="1">
        <f>IF(F185="","",ROUND(F185*$B$246,0))</f>
        <v/>
      </c>
      <c r="H185" s="3">
        <f>IF(G185="","",ROUND(G185*10/1000,0))</f>
        <v/>
      </c>
      <c r="I185" s="3">
        <f>IF(G185="","",ROUND(G185*15/1000,0))</f>
        <v/>
      </c>
      <c r="J185" s="3">
        <f>IF(G185="","",ROUND(G185*20/1000,0))</f>
        <v/>
      </c>
      <c r="K185" s="1">
        <f>IF(F185="","",ROUND(F185*0.10,0))</f>
        <v/>
      </c>
      <c r="L185" s="3">
        <f>IF(K185="","",ROUND(K185*5/1000,0))</f>
        <v/>
      </c>
      <c r="M185" s="1">
        <f>IF(F185="","",ROUND(F185*$B$247,0))</f>
        <v/>
      </c>
      <c r="N185">
        <f>IF(M185="","",ROUND(M185*$B$248,0))</f>
        <v/>
      </c>
      <c r="O185">
        <f>IF(N185="","",ROUND(N185*$B$249,0))</f>
        <v/>
      </c>
      <c r="P185" s="3">
        <f>IF(O185="","",ROUND(O185*7.30,0))</f>
        <v/>
      </c>
      <c r="Q185" s="3">
        <f>IF(L185="","",L185+P185)</f>
        <v/>
      </c>
    </row>
    <row r="186">
      <c r="A186" s="1" t="inlineStr">
        <is>
          <t>Tier 3</t>
        </is>
      </c>
      <c r="B186" s="1" t="inlineStr">
        <is>
          <t>be</t>
        </is>
      </c>
      <c r="C186" s="1" t="n">
        <v>39</v>
      </c>
      <c r="D186" s="1" t="n">
        <v>1</v>
      </c>
      <c r="E186" s="1">
        <f>IFERROR(ROUND(C186/D186,0),"")</f>
        <v/>
      </c>
      <c r="F186" s="1">
        <f>IF(D186="","",D186*$B$244)</f>
        <v/>
      </c>
      <c r="G186" s="1">
        <f>IF(F186="","",ROUND(F186*$B$246,0))</f>
        <v/>
      </c>
      <c r="H186" s="3">
        <f>IF(G186="","",ROUND(G186*10/1000,0))</f>
        <v/>
      </c>
      <c r="I186" s="3">
        <f>IF(G186="","",ROUND(G186*15/1000,0))</f>
        <v/>
      </c>
      <c r="J186" s="3">
        <f>IF(G186="","",ROUND(G186*20/1000,0))</f>
        <v/>
      </c>
      <c r="K186" s="1">
        <f>IF(F186="","",ROUND(F186*0.10,0))</f>
        <v/>
      </c>
      <c r="L186" s="3">
        <f>IF(K186="","",ROUND(K186*5/1000,0))</f>
        <v/>
      </c>
      <c r="M186" s="1">
        <f>IF(F186="","",ROUND(F186*$B$247,0))</f>
        <v/>
      </c>
      <c r="N186">
        <f>IF(M186="","",ROUND(M186*$B$248,0))</f>
        <v/>
      </c>
      <c r="O186">
        <f>IF(N186="","",ROUND(N186*$B$249,0))</f>
        <v/>
      </c>
      <c r="P186" s="3">
        <f>IF(O186="","",ROUND(O186*7.30,0))</f>
        <v/>
      </c>
      <c r="Q186" s="3">
        <f>IF(L186="","",L186+P186)</f>
        <v/>
      </c>
    </row>
    <row r="187">
      <c r="A187" s="1" t="inlineStr">
        <is>
          <t>Tier 3</t>
        </is>
      </c>
      <c r="B187" s="1" t="inlineStr">
        <is>
          <t>TL</t>
        </is>
      </c>
      <c r="C187" s="1" t="n">
        <v>31</v>
      </c>
      <c r="D187" s="1" t="n">
        <v>1</v>
      </c>
      <c r="E187" s="1">
        <f>IFERROR(ROUND(C187/D187,0),"")</f>
        <v/>
      </c>
      <c r="F187" s="1">
        <f>IF(D187="","",D187*$B$244)</f>
        <v/>
      </c>
      <c r="G187" s="1">
        <f>IF(F187="","",ROUND(F187*$B$246,0))</f>
        <v/>
      </c>
      <c r="H187" s="3">
        <f>IF(G187="","",ROUND(G187*10/1000,0))</f>
        <v/>
      </c>
      <c r="I187" s="3">
        <f>IF(G187="","",ROUND(G187*15/1000,0))</f>
        <v/>
      </c>
      <c r="J187" s="3">
        <f>IF(G187="","",ROUND(G187*20/1000,0))</f>
        <v/>
      </c>
      <c r="K187" s="1">
        <f>IF(F187="","",ROUND(F187*0.10,0))</f>
        <v/>
      </c>
      <c r="L187" s="3">
        <f>IF(K187="","",ROUND(K187*5/1000,0))</f>
        <v/>
      </c>
      <c r="M187" s="1">
        <f>IF(F187="","",ROUND(F187*$B$247,0))</f>
        <v/>
      </c>
      <c r="N187">
        <f>IF(M187="","",ROUND(M187*$B$248,0))</f>
        <v/>
      </c>
      <c r="O187">
        <f>IF(N187="","",ROUND(N187*$B$249,0))</f>
        <v/>
      </c>
      <c r="P187" s="3">
        <f>IF(O187="","",ROUND(O187*7.30,0))</f>
        <v/>
      </c>
      <c r="Q187" s="3">
        <f>IF(L187="","",L187+P187)</f>
        <v/>
      </c>
    </row>
    <row r="188">
      <c r="A188" s="1" t="inlineStr">
        <is>
          <t>Tier 3</t>
        </is>
      </c>
      <c r="B188" s="1" t="inlineStr">
        <is>
          <t>YE</t>
        </is>
      </c>
      <c r="C188" s="1" t="n">
        <v>21</v>
      </c>
      <c r="D188" s="1" t="n">
        <v>1</v>
      </c>
      <c r="E188" s="1">
        <f>IFERROR(ROUND(C188/D188,0),"")</f>
        <v/>
      </c>
      <c r="F188" s="1">
        <f>IF(D188="","",D188*$B$244)</f>
        <v/>
      </c>
      <c r="G188" s="1">
        <f>IF(F188="","",ROUND(F188*$B$246,0))</f>
        <v/>
      </c>
      <c r="H188" s="3">
        <f>IF(G188="","",ROUND(G188*10/1000,0))</f>
        <v/>
      </c>
      <c r="I188" s="3">
        <f>IF(G188="","",ROUND(G188*15/1000,0))</f>
        <v/>
      </c>
      <c r="J188" s="3">
        <f>IF(G188="","",ROUND(G188*20/1000,0))</f>
        <v/>
      </c>
      <c r="K188" s="1">
        <f>IF(F188="","",ROUND(F188*0.10,0))</f>
        <v/>
      </c>
      <c r="L188" s="3">
        <f>IF(K188="","",ROUND(K188*5/1000,0))</f>
        <v/>
      </c>
      <c r="M188" s="1">
        <f>IF(F188="","",ROUND(F188*$B$247,0))</f>
        <v/>
      </c>
      <c r="N188">
        <f>IF(M188="","",ROUND(M188*$B$248,0))</f>
        <v/>
      </c>
      <c r="O188">
        <f>IF(N188="","",ROUND(N188*$B$249,0))</f>
        <v/>
      </c>
      <c r="P188" s="3">
        <f>IF(O188="","",ROUND(O188*7.30,0))</f>
        <v/>
      </c>
      <c r="Q188" s="3">
        <f>IF(L188="","",L188+P188)</f>
        <v/>
      </c>
    </row>
    <row r="189">
      <c r="A189" s="1" t="inlineStr">
        <is>
          <t>Tier 3</t>
        </is>
      </c>
      <c r="B189" s="1" t="inlineStr">
        <is>
          <t>KY</t>
        </is>
      </c>
      <c r="C189" s="1" t="n">
        <v>19</v>
      </c>
      <c r="D189" s="1" t="n">
        <v>1</v>
      </c>
      <c r="E189" s="1">
        <f>IFERROR(ROUND(C189/D189,0),"")</f>
        <v/>
      </c>
      <c r="F189" s="1">
        <f>IF(D189="","",D189*$B$244)</f>
        <v/>
      </c>
      <c r="G189" s="1">
        <f>IF(F189="","",ROUND(F189*$B$246,0))</f>
        <v/>
      </c>
      <c r="H189" s="3">
        <f>IF(G189="","",ROUND(G189*10/1000,0))</f>
        <v/>
      </c>
      <c r="I189" s="3">
        <f>IF(G189="","",ROUND(G189*15/1000,0))</f>
        <v/>
      </c>
      <c r="J189" s="3">
        <f>IF(G189="","",ROUND(G189*20/1000,0))</f>
        <v/>
      </c>
      <c r="K189" s="1">
        <f>IF(F189="","",ROUND(F189*0.10,0))</f>
        <v/>
      </c>
      <c r="L189" s="3">
        <f>IF(K189="","",ROUND(K189*5/1000,0))</f>
        <v/>
      </c>
      <c r="M189" s="1">
        <f>IF(F189="","",ROUND(F189*$B$247,0))</f>
        <v/>
      </c>
      <c r="N189">
        <f>IF(M189="","",ROUND(M189*$B$248,0))</f>
        <v/>
      </c>
      <c r="O189">
        <f>IF(N189="","",ROUND(N189*$B$249,0))</f>
        <v/>
      </c>
      <c r="P189" s="3">
        <f>IF(O189="","",ROUND(O189*7.30,0))</f>
        <v/>
      </c>
      <c r="Q189" s="3">
        <f>IF(L189="","",L189+P189)</f>
        <v/>
      </c>
    </row>
    <row r="190">
      <c r="A190" s="1" t="inlineStr">
        <is>
          <t>Tier 3</t>
        </is>
      </c>
      <c r="B190" s="1" t="inlineStr">
        <is>
          <t>CM</t>
        </is>
      </c>
      <c r="C190" s="1" t="n">
        <v>16</v>
      </c>
      <c r="D190" s="1" t="n">
        <v>1</v>
      </c>
      <c r="E190" s="1">
        <f>IFERROR(ROUND(C190/D190,0),"")</f>
        <v/>
      </c>
      <c r="F190" s="1">
        <f>IF(D190="","",D190*$B$244)</f>
        <v/>
      </c>
      <c r="G190" s="1">
        <f>IF(F190="","",ROUND(F190*$B$246,0))</f>
        <v/>
      </c>
      <c r="H190" s="3">
        <f>IF(G190="","",ROUND(G190*10/1000,0))</f>
        <v/>
      </c>
      <c r="I190" s="3">
        <f>IF(G190="","",ROUND(G190*15/1000,0))</f>
        <v/>
      </c>
      <c r="J190" s="3">
        <f>IF(G190="","",ROUND(G190*20/1000,0))</f>
        <v/>
      </c>
      <c r="K190" s="1">
        <f>IF(F190="","",ROUND(F190*0.10,0))</f>
        <v/>
      </c>
      <c r="L190" s="3">
        <f>IF(K190="","",ROUND(K190*5/1000,0))</f>
        <v/>
      </c>
      <c r="M190" s="1">
        <f>IF(F190="","",ROUND(F190*$B$247,0))</f>
        <v/>
      </c>
      <c r="N190">
        <f>IF(M190="","",ROUND(M190*$B$248,0))</f>
        <v/>
      </c>
      <c r="O190">
        <f>IF(N190="","",ROUND(N190*$B$249,0))</f>
        <v/>
      </c>
      <c r="P190" s="3">
        <f>IF(O190="","",ROUND(O190*7.30,0))</f>
        <v/>
      </c>
      <c r="Q190" s="3">
        <f>IF(L190="","",L190+P190)</f>
        <v/>
      </c>
    </row>
    <row r="191">
      <c r="A191" s="1" t="inlineStr">
        <is>
          <t>Tier 3</t>
        </is>
      </c>
      <c r="B191" s="1" t="inlineStr">
        <is>
          <t>rs</t>
        </is>
      </c>
      <c r="C191" s="1" t="n">
        <v>14</v>
      </c>
      <c r="D191" s="1" t="n">
        <v>1</v>
      </c>
      <c r="E191" s="1">
        <f>IFERROR(ROUND(C191/D191,0),"")</f>
        <v/>
      </c>
      <c r="F191" s="1">
        <f>IF(D191="","",D191*$B$244)</f>
        <v/>
      </c>
      <c r="G191" s="1">
        <f>IF(F191="","",ROUND(F191*$B$246,0))</f>
        <v/>
      </c>
      <c r="H191" s="3">
        <f>IF(G191="","",ROUND(G191*10/1000,0))</f>
        <v/>
      </c>
      <c r="I191" s="3">
        <f>IF(G191="","",ROUND(G191*15/1000,0))</f>
        <v/>
      </c>
      <c r="J191" s="3">
        <f>IF(G191="","",ROUND(G191*20/1000,0))</f>
        <v/>
      </c>
      <c r="K191" s="1">
        <f>IF(F191="","",ROUND(F191*0.10,0))</f>
        <v/>
      </c>
      <c r="L191" s="3">
        <f>IF(K191="","",ROUND(K191*5/1000,0))</f>
        <v/>
      </c>
      <c r="M191" s="1">
        <f>IF(F191="","",ROUND(F191*$B$247,0))</f>
        <v/>
      </c>
      <c r="N191">
        <f>IF(M191="","",ROUND(M191*$B$248,0))</f>
        <v/>
      </c>
      <c r="O191">
        <f>IF(N191="","",ROUND(N191*$B$249,0))</f>
        <v/>
      </c>
      <c r="P191" s="3">
        <f>IF(O191="","",ROUND(O191*7.30,0))</f>
        <v/>
      </c>
      <c r="Q191" s="3">
        <f>IF(L191="","",L191+P191)</f>
        <v/>
      </c>
    </row>
    <row r="192">
      <c r="A192" s="1" t="inlineStr">
        <is>
          <t>Tier 3</t>
        </is>
      </c>
      <c r="B192" s="1" t="inlineStr">
        <is>
          <t>SM</t>
        </is>
      </c>
      <c r="C192" s="1" t="n">
        <v>14</v>
      </c>
      <c r="D192" s="1" t="n">
        <v>1</v>
      </c>
      <c r="E192" s="1">
        <f>IFERROR(ROUND(C192/D192,0),"")</f>
        <v/>
      </c>
      <c r="F192" s="1">
        <f>IF(D192="","",D192*$B$244)</f>
        <v/>
      </c>
      <c r="G192" s="1">
        <f>IF(F192="","",ROUND(F192*$B$246,0))</f>
        <v/>
      </c>
      <c r="H192" s="3">
        <f>IF(G192="","",ROUND(G192*10/1000,0))</f>
        <v/>
      </c>
      <c r="I192" s="3">
        <f>IF(G192="","",ROUND(G192*15/1000,0))</f>
        <v/>
      </c>
      <c r="J192" s="3">
        <f>IF(G192="","",ROUND(G192*20/1000,0))</f>
        <v/>
      </c>
      <c r="K192" s="1">
        <f>IF(F192="","",ROUND(F192*0.10,0))</f>
        <v/>
      </c>
      <c r="L192" s="3">
        <f>IF(K192="","",ROUND(K192*5/1000,0))</f>
        <v/>
      </c>
      <c r="M192" s="1">
        <f>IF(F192="","",ROUND(F192*$B$247,0))</f>
        <v/>
      </c>
      <c r="N192">
        <f>IF(M192="","",ROUND(M192*$B$248,0))</f>
        <v/>
      </c>
      <c r="O192">
        <f>IF(N192="","",ROUND(N192*$B$249,0))</f>
        <v/>
      </c>
      <c r="P192" s="3">
        <f>IF(O192="","",ROUND(O192*7.30,0))</f>
        <v/>
      </c>
      <c r="Q192" s="3">
        <f>IF(L192="","",L192+P192)</f>
        <v/>
      </c>
    </row>
    <row r="193">
      <c r="A193" s="1" t="inlineStr">
        <is>
          <t>Tier 3</t>
        </is>
      </c>
      <c r="B193" s="1" t="inlineStr">
        <is>
          <t>no</t>
        </is>
      </c>
      <c r="C193" s="1" t="n">
        <v>11</v>
      </c>
      <c r="D193" s="1" t="n">
        <v>1</v>
      </c>
      <c r="E193" s="1">
        <f>IFERROR(ROUND(C193/D193,0),"")</f>
        <v/>
      </c>
      <c r="F193" s="1">
        <f>IF(D193="","",D193*$B$244)</f>
        <v/>
      </c>
      <c r="G193" s="1">
        <f>IF(F193="","",ROUND(F193*$B$246,0))</f>
        <v/>
      </c>
      <c r="H193" s="3">
        <f>IF(G193="","",ROUND(G193*10/1000,0))</f>
        <v/>
      </c>
      <c r="I193" s="3">
        <f>IF(G193="","",ROUND(G193*15/1000,0))</f>
        <v/>
      </c>
      <c r="J193" s="3">
        <f>IF(G193="","",ROUND(G193*20/1000,0))</f>
        <v/>
      </c>
      <c r="K193" s="1">
        <f>IF(F193="","",ROUND(F193*0.10,0))</f>
        <v/>
      </c>
      <c r="L193" s="3">
        <f>IF(K193="","",ROUND(K193*5/1000,0))</f>
        <v/>
      </c>
      <c r="M193" s="1">
        <f>IF(F193="","",ROUND(F193*$B$247,0))</f>
        <v/>
      </c>
      <c r="N193">
        <f>IF(M193="","",ROUND(M193*$B$248,0))</f>
        <v/>
      </c>
      <c r="O193">
        <f>IF(N193="","",ROUND(N193*$B$249,0))</f>
        <v/>
      </c>
      <c r="P193" s="3">
        <f>IF(O193="","",ROUND(O193*7.30,0))</f>
        <v/>
      </c>
      <c r="Q193" s="3">
        <f>IF(L193="","",L193+P193)</f>
        <v/>
      </c>
    </row>
    <row r="194">
      <c r="A194" s="1" t="inlineStr">
        <is>
          <t>Tier 3</t>
        </is>
      </c>
      <c r="B194" s="1" t="inlineStr">
        <is>
          <t>hu</t>
        </is>
      </c>
      <c r="C194" s="1" t="n">
        <v>9</v>
      </c>
      <c r="D194" s="1" t="n">
        <v>1</v>
      </c>
      <c r="E194" s="1">
        <f>IFERROR(ROUND(C194/D194,0),"")</f>
        <v/>
      </c>
      <c r="F194" s="1">
        <f>IF(D194="","",D194*$B$244)</f>
        <v/>
      </c>
      <c r="G194" s="1">
        <f>IF(F194="","",ROUND(F194*$B$246,0))</f>
        <v/>
      </c>
      <c r="H194" s="3">
        <f>IF(G194="","",ROUND(G194*10/1000,0))</f>
        <v/>
      </c>
      <c r="I194" s="3">
        <f>IF(G194="","",ROUND(G194*15/1000,0))</f>
        <v/>
      </c>
      <c r="J194" s="3">
        <f>IF(G194="","",ROUND(G194*20/1000,0))</f>
        <v/>
      </c>
      <c r="K194" s="1">
        <f>IF(F194="","",ROUND(F194*0.10,0))</f>
        <v/>
      </c>
      <c r="L194" s="3">
        <f>IF(K194="","",ROUND(K194*5/1000,0))</f>
        <v/>
      </c>
      <c r="M194" s="1">
        <f>IF(F194="","",ROUND(F194*$B$247,0))</f>
        <v/>
      </c>
      <c r="N194">
        <f>IF(M194="","",ROUND(M194*$B$248,0))</f>
        <v/>
      </c>
      <c r="O194">
        <f>IF(N194="","",ROUND(N194*$B$249,0))</f>
        <v/>
      </c>
      <c r="P194" s="3">
        <f>IF(O194="","",ROUND(O194*7.30,0))</f>
        <v/>
      </c>
      <c r="Q194" s="3">
        <f>IF(L194="","",L194+P194)</f>
        <v/>
      </c>
    </row>
    <row r="195">
      <c r="A195" s="1" t="inlineStr">
        <is>
          <t>Tier 3</t>
        </is>
      </c>
      <c r="B195" s="1" t="inlineStr">
        <is>
          <t>RW</t>
        </is>
      </c>
      <c r="C195" s="1" t="n">
        <v>9</v>
      </c>
      <c r="D195" s="1" t="n">
        <v>1</v>
      </c>
      <c r="E195" s="1">
        <f>IFERROR(ROUND(C195/D195,0),"")</f>
        <v/>
      </c>
      <c r="F195" s="1">
        <f>IF(D195="","",D195*$B$244)</f>
        <v/>
      </c>
      <c r="G195" s="1">
        <f>IF(F195="","",ROUND(F195*$B$246,0))</f>
        <v/>
      </c>
      <c r="H195" s="3">
        <f>IF(G195="","",ROUND(G195*10/1000,0))</f>
        <v/>
      </c>
      <c r="I195" s="3">
        <f>IF(G195="","",ROUND(G195*15/1000,0))</f>
        <v/>
      </c>
      <c r="J195" s="3">
        <f>IF(G195="","",ROUND(G195*20/1000,0))</f>
        <v/>
      </c>
      <c r="K195" s="1">
        <f>IF(F195="","",ROUND(F195*0.10,0))</f>
        <v/>
      </c>
      <c r="L195" s="3">
        <f>IF(K195="","",ROUND(K195*5/1000,0))</f>
        <v/>
      </c>
      <c r="M195" s="1">
        <f>IF(F195="","",ROUND(F195*$B$247,0))</f>
        <v/>
      </c>
      <c r="N195">
        <f>IF(M195="","",ROUND(M195*$B$248,0))</f>
        <v/>
      </c>
      <c r="O195">
        <f>IF(N195="","",ROUND(N195*$B$249,0))</f>
        <v/>
      </c>
      <c r="P195" s="3">
        <f>IF(O195="","",ROUND(O195*7.30,0))</f>
        <v/>
      </c>
      <c r="Q195" s="3">
        <f>IF(L195="","",L195+P195)</f>
        <v/>
      </c>
    </row>
    <row r="196">
      <c r="A196" s="1" t="inlineStr">
        <is>
          <t>Tier 3</t>
        </is>
      </c>
      <c r="B196" s="1" t="inlineStr">
        <is>
          <t>VU</t>
        </is>
      </c>
      <c r="C196" s="1" t="n">
        <v>8</v>
      </c>
      <c r="D196" s="1" t="n">
        <v>1</v>
      </c>
      <c r="E196" s="1">
        <f>IFERROR(ROUND(C196/D196,0),"")</f>
        <v/>
      </c>
      <c r="F196" s="1">
        <f>IF(D196="","",D196*$B$244)</f>
        <v/>
      </c>
      <c r="G196" s="1">
        <f>IF(F196="","",ROUND(F196*$B$246,0))</f>
        <v/>
      </c>
      <c r="H196" s="3">
        <f>IF(G196="","",ROUND(G196*10/1000,0))</f>
        <v/>
      </c>
      <c r="I196" s="3">
        <f>IF(G196="","",ROUND(G196*15/1000,0))</f>
        <v/>
      </c>
      <c r="J196" s="3">
        <f>IF(G196="","",ROUND(G196*20/1000,0))</f>
        <v/>
      </c>
      <c r="K196" s="1">
        <f>IF(F196="","",ROUND(F196*0.10,0))</f>
        <v/>
      </c>
      <c r="L196" s="3">
        <f>IF(K196="","",ROUND(K196*5/1000,0))</f>
        <v/>
      </c>
      <c r="M196" s="1">
        <f>IF(F196="","",ROUND(F196*$B$247,0))</f>
        <v/>
      </c>
      <c r="N196">
        <f>IF(M196="","",ROUND(M196*$B$248,0))</f>
        <v/>
      </c>
      <c r="O196">
        <f>IF(N196="","",ROUND(N196*$B$249,0))</f>
        <v/>
      </c>
      <c r="P196" s="3">
        <f>IF(O196="","",ROUND(O196*7.30,0))</f>
        <v/>
      </c>
      <c r="Q196" s="3">
        <f>IF(L196="","",L196+P196)</f>
        <v/>
      </c>
    </row>
    <row r="197">
      <c r="A197" s="1" t="inlineStr">
        <is>
          <t>Tier 3</t>
        </is>
      </c>
      <c r="B197" s="1" t="inlineStr">
        <is>
          <t>MZ</t>
        </is>
      </c>
      <c r="C197" s="1" t="n">
        <v>7</v>
      </c>
      <c r="D197" s="1" t="n">
        <v>1</v>
      </c>
      <c r="E197" s="1">
        <f>IFERROR(ROUND(C197/D197,0),"")</f>
        <v/>
      </c>
      <c r="F197" s="1">
        <f>IF(D197="","",D197*$B$244)</f>
        <v/>
      </c>
      <c r="G197" s="1">
        <f>IF(F197="","",ROUND(F197*$B$246,0))</f>
        <v/>
      </c>
      <c r="H197" s="3">
        <f>IF(G197="","",ROUND(G197*10/1000,0))</f>
        <v/>
      </c>
      <c r="I197" s="3">
        <f>IF(G197="","",ROUND(G197*15/1000,0))</f>
        <v/>
      </c>
      <c r="J197" s="3">
        <f>IF(G197="","",ROUND(G197*20/1000,0))</f>
        <v/>
      </c>
      <c r="K197" s="1">
        <f>IF(F197="","",ROUND(F197*0.10,0))</f>
        <v/>
      </c>
      <c r="L197" s="3">
        <f>IF(K197="","",ROUND(K197*5/1000,0))</f>
        <v/>
      </c>
      <c r="M197" s="1">
        <f>IF(F197="","",ROUND(F197*$B$247,0))</f>
        <v/>
      </c>
      <c r="N197">
        <f>IF(M197="","",ROUND(M197*$B$248,0))</f>
        <v/>
      </c>
      <c r="O197">
        <f>IF(N197="","",ROUND(N197*$B$249,0))</f>
        <v/>
      </c>
      <c r="P197" s="3">
        <f>IF(O197="","",ROUND(O197*7.30,0))</f>
        <v/>
      </c>
      <c r="Q197" s="3">
        <f>IF(L197="","",L197+P197)</f>
        <v/>
      </c>
    </row>
    <row r="198">
      <c r="A198" s="1" t="inlineStr">
        <is>
          <t>Tier 3</t>
        </is>
      </c>
      <c r="B198" s="1" t="inlineStr">
        <is>
          <t>by</t>
        </is>
      </c>
      <c r="C198" s="1" t="n">
        <v>6</v>
      </c>
      <c r="D198" s="1" t="n">
        <v>1</v>
      </c>
      <c r="E198" s="1">
        <f>IFERROR(ROUND(C198/D198,0),"")</f>
        <v/>
      </c>
      <c r="F198" s="1">
        <f>IF(D198="","",D198*$B$244)</f>
        <v/>
      </c>
      <c r="G198" s="1">
        <f>IF(F198="","",ROUND(F198*$B$246,0))</f>
        <v/>
      </c>
      <c r="H198" s="3">
        <f>IF(G198="","",ROUND(G198*10/1000,0))</f>
        <v/>
      </c>
      <c r="I198" s="3">
        <f>IF(G198="","",ROUND(G198*15/1000,0))</f>
        <v/>
      </c>
      <c r="J198" s="3">
        <f>IF(G198="","",ROUND(G198*20/1000,0))</f>
        <v/>
      </c>
      <c r="K198" s="1">
        <f>IF(F198="","",ROUND(F198*0.10,0))</f>
        <v/>
      </c>
      <c r="L198" s="3">
        <f>IF(K198="","",ROUND(K198*5/1000,0))</f>
        <v/>
      </c>
      <c r="M198" s="1">
        <f>IF(F198="","",ROUND(F198*$B$247,0))</f>
        <v/>
      </c>
      <c r="N198">
        <f>IF(M198="","",ROUND(M198*$B$248,0))</f>
        <v/>
      </c>
      <c r="O198">
        <f>IF(N198="","",ROUND(N198*$B$249,0))</f>
        <v/>
      </c>
      <c r="P198" s="3">
        <f>IF(O198="","",ROUND(O198*7.30,0))</f>
        <v/>
      </c>
      <c r="Q198" s="3">
        <f>IF(L198="","",L198+P198)</f>
        <v/>
      </c>
    </row>
    <row r="199">
      <c r="A199" s="1" t="inlineStr">
        <is>
          <t>Tier 3</t>
        </is>
      </c>
      <c r="B199" s="1" t="inlineStr">
        <is>
          <t>DM</t>
        </is>
      </c>
      <c r="C199" s="1" t="n">
        <v>6</v>
      </c>
      <c r="D199" s="1" t="n">
        <v>1</v>
      </c>
      <c r="E199" s="1">
        <f>IFERROR(ROUND(C199/D199,0),"")</f>
        <v/>
      </c>
      <c r="F199" s="1">
        <f>IF(D199="","",D199*$B$244)</f>
        <v/>
      </c>
      <c r="G199" s="1">
        <f>IF(F199="","",ROUND(F199*$B$246,0))</f>
        <v/>
      </c>
      <c r="H199" s="3">
        <f>IF(G199="","",ROUND(G199*10/1000,0))</f>
        <v/>
      </c>
      <c r="I199" s="3">
        <f>IF(G199="","",ROUND(G199*15/1000,0))</f>
        <v/>
      </c>
      <c r="J199" s="3">
        <f>IF(G199="","",ROUND(G199*20/1000,0))</f>
        <v/>
      </c>
      <c r="K199" s="1">
        <f>IF(F199="","",ROUND(F199*0.10,0))</f>
        <v/>
      </c>
      <c r="L199" s="3">
        <f>IF(K199="","",ROUND(K199*5/1000,0))</f>
        <v/>
      </c>
      <c r="M199" s="1">
        <f>IF(F199="","",ROUND(F199*$B$247,0))</f>
        <v/>
      </c>
      <c r="N199">
        <f>IF(M199="","",ROUND(M199*$B$248,0))</f>
        <v/>
      </c>
      <c r="O199">
        <f>IF(N199="","",ROUND(N199*$B$249,0))</f>
        <v/>
      </c>
      <c r="P199" s="3">
        <f>IF(O199="","",ROUND(O199*7.30,0))</f>
        <v/>
      </c>
      <c r="Q199" s="3">
        <f>IF(L199="","",L199+P199)</f>
        <v/>
      </c>
    </row>
    <row r="200">
      <c r="A200" s="1" t="inlineStr">
        <is>
          <t>Tier 3</t>
        </is>
      </c>
      <c r="B200" s="1" t="inlineStr">
        <is>
          <t>ET</t>
        </is>
      </c>
      <c r="C200" s="1" t="n">
        <v>6</v>
      </c>
      <c r="D200" s="1" t="n">
        <v>1</v>
      </c>
      <c r="E200" s="1">
        <f>IFERROR(ROUND(C200/D200,0),"")</f>
        <v/>
      </c>
      <c r="F200" s="1">
        <f>IF(D200="","",D200*$B$244)</f>
        <v/>
      </c>
      <c r="G200" s="1">
        <f>IF(F200="","",ROUND(F200*$B$246,0))</f>
        <v/>
      </c>
      <c r="H200" s="3">
        <f>IF(G200="","",ROUND(G200*10/1000,0))</f>
        <v/>
      </c>
      <c r="I200" s="3">
        <f>IF(G200="","",ROUND(G200*15/1000,0))</f>
        <v/>
      </c>
      <c r="J200" s="3">
        <f>IF(G200="","",ROUND(G200*20/1000,0))</f>
        <v/>
      </c>
      <c r="K200" s="1">
        <f>IF(F200="","",ROUND(F200*0.10,0))</f>
        <v/>
      </c>
      <c r="L200" s="3">
        <f>IF(K200="","",ROUND(K200*5/1000,0))</f>
        <v/>
      </c>
      <c r="M200" s="1">
        <f>IF(F200="","",ROUND(F200*$B$247,0))</f>
        <v/>
      </c>
      <c r="N200">
        <f>IF(M200="","",ROUND(M200*$B$248,0))</f>
        <v/>
      </c>
      <c r="O200">
        <f>IF(N200="","",ROUND(N200*$B$249,0))</f>
        <v/>
      </c>
      <c r="P200" s="3">
        <f>IF(O200="","",ROUND(O200*7.30,0))</f>
        <v/>
      </c>
      <c r="Q200" s="3">
        <f>IF(L200="","",L200+P200)</f>
        <v/>
      </c>
    </row>
    <row r="201">
      <c r="A201" s="1" t="inlineStr">
        <is>
          <t>Tier 3</t>
        </is>
      </c>
      <c r="B201" s="1" t="inlineStr">
        <is>
          <t>NE</t>
        </is>
      </c>
      <c r="C201" s="1" t="n">
        <v>6</v>
      </c>
      <c r="D201" s="1" t="n">
        <v>1</v>
      </c>
      <c r="E201" s="1">
        <f>IFERROR(ROUND(C201/D201,0),"")</f>
        <v/>
      </c>
      <c r="F201" s="1">
        <f>IF(D201="","",D201*$B$244)</f>
        <v/>
      </c>
      <c r="G201" s="1">
        <f>IF(F201="","",ROUND(F201*$B$246,0))</f>
        <v/>
      </c>
      <c r="H201" s="3">
        <f>IF(G201="","",ROUND(G201*10/1000,0))</f>
        <v/>
      </c>
      <c r="I201" s="3">
        <f>IF(G201="","",ROUND(G201*15/1000,0))</f>
        <v/>
      </c>
      <c r="J201" s="3">
        <f>IF(G201="","",ROUND(G201*20/1000,0))</f>
        <v/>
      </c>
      <c r="K201" s="1">
        <f>IF(F201="","",ROUND(F201*0.10,0))</f>
        <v/>
      </c>
      <c r="L201" s="3">
        <f>IF(K201="","",ROUND(K201*5/1000,0))</f>
        <v/>
      </c>
      <c r="M201" s="1">
        <f>IF(F201="","",ROUND(F201*$B$247,0))</f>
        <v/>
      </c>
      <c r="N201">
        <f>IF(M201="","",ROUND(M201*$B$248,0))</f>
        <v/>
      </c>
      <c r="O201">
        <f>IF(N201="","",ROUND(N201*$B$249,0))</f>
        <v/>
      </c>
      <c r="P201" s="3">
        <f>IF(O201="","",ROUND(O201*7.30,0))</f>
        <v/>
      </c>
      <c r="Q201" s="3">
        <f>IF(L201="","",L201+P201)</f>
        <v/>
      </c>
    </row>
    <row r="202">
      <c r="A202" s="1" t="inlineStr">
        <is>
          <t>Tier 3</t>
        </is>
      </c>
      <c r="B202" s="1" t="inlineStr">
        <is>
          <t>PG</t>
        </is>
      </c>
      <c r="C202" s="1" t="n">
        <v>5</v>
      </c>
      <c r="D202" s="1" t="n">
        <v>1</v>
      </c>
      <c r="E202" s="1">
        <f>IFERROR(ROUND(C202/D202,0),"")</f>
        <v/>
      </c>
      <c r="F202" s="1">
        <f>IF(D202="","",D202*$B$244)</f>
        <v/>
      </c>
      <c r="G202" s="1">
        <f>IF(F202="","",ROUND(F202*$B$246,0))</f>
        <v/>
      </c>
      <c r="H202" s="3">
        <f>IF(G202="","",ROUND(G202*10/1000,0))</f>
        <v/>
      </c>
      <c r="I202" s="3">
        <f>IF(G202="","",ROUND(G202*15/1000,0))</f>
        <v/>
      </c>
      <c r="J202" s="3">
        <f>IF(G202="","",ROUND(G202*20/1000,0))</f>
        <v/>
      </c>
      <c r="K202" s="1">
        <f>IF(F202="","",ROUND(F202*0.10,0))</f>
        <v/>
      </c>
      <c r="L202" s="3">
        <f>IF(K202="","",ROUND(K202*5/1000,0))</f>
        <v/>
      </c>
      <c r="M202" s="1">
        <f>IF(F202="","",ROUND(F202*$B$247,0))</f>
        <v/>
      </c>
      <c r="N202">
        <f>IF(M202="","",ROUND(M202*$B$248,0))</f>
        <v/>
      </c>
      <c r="O202">
        <f>IF(N202="","",ROUND(N202*$B$249,0))</f>
        <v/>
      </c>
      <c r="P202" s="3">
        <f>IF(O202="","",ROUND(O202*7.30,0))</f>
        <v/>
      </c>
      <c r="Q202" s="3">
        <f>IF(L202="","",L202+P202)</f>
        <v/>
      </c>
    </row>
    <row r="203">
      <c r="A203" s="1" t="inlineStr">
        <is>
          <t>Tier 3</t>
        </is>
      </c>
      <c r="B203" s="1" t="inlineStr">
        <is>
          <t>BT</t>
        </is>
      </c>
      <c r="C203" s="1" t="n">
        <v>4</v>
      </c>
      <c r="D203" s="1" t="n">
        <v>1</v>
      </c>
      <c r="E203" s="1">
        <f>IFERROR(ROUND(C203/D203,0),"")</f>
        <v/>
      </c>
      <c r="F203" s="1">
        <f>IF(D203="","",D203*$B$244)</f>
        <v/>
      </c>
      <c r="G203" s="1">
        <f>IF(F203="","",ROUND(F203*$B$246,0))</f>
        <v/>
      </c>
      <c r="H203" s="3">
        <f>IF(G203="","",ROUND(G203*10/1000,0))</f>
        <v/>
      </c>
      <c r="I203" s="3">
        <f>IF(G203="","",ROUND(G203*15/1000,0))</f>
        <v/>
      </c>
      <c r="J203" s="3">
        <f>IF(G203="","",ROUND(G203*20/1000,0))</f>
        <v/>
      </c>
      <c r="K203" s="1">
        <f>IF(F203="","",ROUND(F203*0.10,0))</f>
        <v/>
      </c>
      <c r="L203" s="3">
        <f>IF(K203="","",ROUND(K203*5/1000,0))</f>
        <v/>
      </c>
      <c r="M203" s="1">
        <f>IF(F203="","",ROUND(F203*$B$247,0))</f>
        <v/>
      </c>
      <c r="N203">
        <f>IF(M203="","",ROUND(M203*$B$248,0))</f>
        <v/>
      </c>
      <c r="O203">
        <f>IF(N203="","",ROUND(N203*$B$249,0))</f>
        <v/>
      </c>
      <c r="P203" s="3">
        <f>IF(O203="","",ROUND(O203*7.30,0))</f>
        <v/>
      </c>
      <c r="Q203" s="3">
        <f>IF(L203="","",L203+P203)</f>
        <v/>
      </c>
    </row>
    <row r="204">
      <c r="A204" s="1" t="inlineStr">
        <is>
          <t>Tier 3</t>
        </is>
      </c>
      <c r="B204" s="1" t="inlineStr">
        <is>
          <t>BZ</t>
        </is>
      </c>
      <c r="C204" s="1" t="n">
        <v>4</v>
      </c>
      <c r="D204" s="1" t="n">
        <v>1</v>
      </c>
      <c r="E204" s="1">
        <f>IFERROR(ROUND(C204/D204,0),"")</f>
        <v/>
      </c>
      <c r="F204" s="1">
        <f>IF(D204="","",D204*$B$244)</f>
        <v/>
      </c>
      <c r="G204" s="1">
        <f>IF(F204="","",ROUND(F204*$B$246,0))</f>
        <v/>
      </c>
      <c r="H204" s="3">
        <f>IF(G204="","",ROUND(G204*10/1000,0))</f>
        <v/>
      </c>
      <c r="I204" s="3">
        <f>IF(G204="","",ROUND(G204*15/1000,0))</f>
        <v/>
      </c>
      <c r="J204" s="3">
        <f>IF(G204="","",ROUND(G204*20/1000,0))</f>
        <v/>
      </c>
      <c r="K204" s="1">
        <f>IF(F204="","",ROUND(F204*0.10,0))</f>
        <v/>
      </c>
      <c r="L204" s="3">
        <f>IF(K204="","",ROUND(K204*5/1000,0))</f>
        <v/>
      </c>
      <c r="M204" s="1">
        <f>IF(F204="","",ROUND(F204*$B$247,0))</f>
        <v/>
      </c>
      <c r="N204">
        <f>IF(M204="","",ROUND(M204*$B$248,0))</f>
        <v/>
      </c>
      <c r="O204">
        <f>IF(N204="","",ROUND(N204*$B$249,0))</f>
        <v/>
      </c>
      <c r="P204" s="3">
        <f>IF(O204="","",ROUND(O204*7.30,0))</f>
        <v/>
      </c>
      <c r="Q204" s="3">
        <f>IF(L204="","",L204+P204)</f>
        <v/>
      </c>
    </row>
    <row r="205">
      <c r="A205" s="1" t="inlineStr">
        <is>
          <t>Tier 3</t>
        </is>
      </c>
      <c r="B205" s="1" t="inlineStr">
        <is>
          <t>ch</t>
        </is>
      </c>
      <c r="C205" s="1" t="n">
        <v>4</v>
      </c>
      <c r="D205" s="1" t="n">
        <v>1</v>
      </c>
      <c r="E205" s="1">
        <f>IFERROR(ROUND(C205/D205,0),"")</f>
        <v/>
      </c>
      <c r="F205" s="1">
        <f>IF(D205="","",D205*$B$244)</f>
        <v/>
      </c>
      <c r="G205" s="1">
        <f>IF(F205="","",ROUND(F205*$B$246,0))</f>
        <v/>
      </c>
      <c r="H205" s="3">
        <f>IF(G205="","",ROUND(G205*10/1000,0))</f>
        <v/>
      </c>
      <c r="I205" s="3">
        <f>IF(G205="","",ROUND(G205*15/1000,0))</f>
        <v/>
      </c>
      <c r="J205" s="3">
        <f>IF(G205="","",ROUND(G205*20/1000,0))</f>
        <v/>
      </c>
      <c r="K205" s="1">
        <f>IF(F205="","",ROUND(F205*0.10,0))</f>
        <v/>
      </c>
      <c r="L205" s="3">
        <f>IF(K205="","",ROUND(K205*5/1000,0))</f>
        <v/>
      </c>
      <c r="M205" s="1">
        <f>IF(F205="","",ROUND(F205*$B$247,0))</f>
        <v/>
      </c>
      <c r="N205">
        <f>IF(M205="","",ROUND(M205*$B$248,0))</f>
        <v/>
      </c>
      <c r="O205">
        <f>IF(N205="","",ROUND(N205*$B$249,0))</f>
        <v/>
      </c>
      <c r="P205" s="3">
        <f>IF(O205="","",ROUND(O205*7.30,0))</f>
        <v/>
      </c>
      <c r="Q205" s="3">
        <f>IF(L205="","",L205+P205)</f>
        <v/>
      </c>
    </row>
    <row r="206">
      <c r="A206" s="1" t="inlineStr">
        <is>
          <t>Tier 3</t>
        </is>
      </c>
      <c r="B206" s="1" t="inlineStr">
        <is>
          <t>kh</t>
        </is>
      </c>
      <c r="C206" s="1" t="n">
        <v>4</v>
      </c>
      <c r="D206" s="1" t="n">
        <v>1</v>
      </c>
      <c r="E206" s="1">
        <f>IFERROR(ROUND(C206/D206,0),"")</f>
        <v/>
      </c>
      <c r="F206" s="1">
        <f>IF(D206="","",D206*$B$244)</f>
        <v/>
      </c>
      <c r="G206" s="1">
        <f>IF(F206="","",ROUND(F206*$B$246,0))</f>
        <v/>
      </c>
      <c r="H206" s="3">
        <f>IF(G206="","",ROUND(G206*10/1000,0))</f>
        <v/>
      </c>
      <c r="I206" s="3">
        <f>IF(G206="","",ROUND(G206*15/1000,0))</f>
        <v/>
      </c>
      <c r="J206" s="3">
        <f>IF(G206="","",ROUND(G206*20/1000,0))</f>
        <v/>
      </c>
      <c r="K206" s="1">
        <f>IF(F206="","",ROUND(F206*0.10,0))</f>
        <v/>
      </c>
      <c r="L206" s="3">
        <f>IF(K206="","",ROUND(K206*5/1000,0))</f>
        <v/>
      </c>
      <c r="M206" s="1">
        <f>IF(F206="","",ROUND(F206*$B$247,0))</f>
        <v/>
      </c>
      <c r="N206">
        <f>IF(M206="","",ROUND(M206*$B$248,0))</f>
        <v/>
      </c>
      <c r="O206">
        <f>IF(N206="","",ROUND(N206*$B$249,0))</f>
        <v/>
      </c>
      <c r="P206" s="3">
        <f>IF(O206="","",ROUND(O206*7.30,0))</f>
        <v/>
      </c>
      <c r="Q206" s="3">
        <f>IF(L206="","",L206+P206)</f>
        <v/>
      </c>
    </row>
    <row r="207">
      <c r="A207" s="1" t="inlineStr">
        <is>
          <t>Tier 3</t>
        </is>
      </c>
      <c r="B207" s="1" t="inlineStr">
        <is>
          <t>lt</t>
        </is>
      </c>
      <c r="C207" s="1" t="n">
        <v>4</v>
      </c>
      <c r="D207" s="1" t="n">
        <v>1</v>
      </c>
      <c r="E207" s="1">
        <f>IFERROR(ROUND(C207/D207,0),"")</f>
        <v/>
      </c>
      <c r="F207" s="1">
        <f>IF(D207="","",D207*$B$244)</f>
        <v/>
      </c>
      <c r="G207" s="1">
        <f>IF(F207="","",ROUND(F207*$B$246,0))</f>
        <v/>
      </c>
      <c r="H207" s="3">
        <f>IF(G207="","",ROUND(G207*10/1000,0))</f>
        <v/>
      </c>
      <c r="I207" s="3">
        <f>IF(G207="","",ROUND(G207*15/1000,0))</f>
        <v/>
      </c>
      <c r="J207" s="3">
        <f>IF(G207="","",ROUND(G207*20/1000,0))</f>
        <v/>
      </c>
      <c r="K207" s="1">
        <f>IF(F207="","",ROUND(F207*0.10,0))</f>
        <v/>
      </c>
      <c r="L207" s="3">
        <f>IF(K207="","",ROUND(K207*5/1000,0))</f>
        <v/>
      </c>
      <c r="M207" s="1">
        <f>IF(F207="","",ROUND(F207*$B$247,0))</f>
        <v/>
      </c>
      <c r="N207">
        <f>IF(M207="","",ROUND(M207*$B$248,0))</f>
        <v/>
      </c>
      <c r="O207">
        <f>IF(N207="","",ROUND(N207*$B$249,0))</f>
        <v/>
      </c>
      <c r="P207" s="3">
        <f>IF(O207="","",ROUND(O207*7.30,0))</f>
        <v/>
      </c>
      <c r="Q207" s="3">
        <f>IF(L207="","",L207+P207)</f>
        <v/>
      </c>
    </row>
    <row r="208">
      <c r="A208" s="1" t="inlineStr">
        <is>
          <t>Tier 3</t>
        </is>
      </c>
      <c r="B208" s="1" t="inlineStr">
        <is>
          <t>VI</t>
        </is>
      </c>
      <c r="C208" s="1" t="n">
        <v>4</v>
      </c>
      <c r="D208" s="1" t="n">
        <v>1</v>
      </c>
      <c r="E208" s="1">
        <f>IFERROR(ROUND(C208/D208,0),"")</f>
        <v/>
      </c>
      <c r="F208" s="1">
        <f>IF(D208="","",D208*$B$244)</f>
        <v/>
      </c>
      <c r="G208" s="1">
        <f>IF(F208="","",ROUND(F208*$B$246,0))</f>
        <v/>
      </c>
      <c r="H208" s="3">
        <f>IF(G208="","",ROUND(G208*10/1000,0))</f>
        <v/>
      </c>
      <c r="I208" s="3">
        <f>IF(G208="","",ROUND(G208*15/1000,0))</f>
        <v/>
      </c>
      <c r="J208" s="3">
        <f>IF(G208="","",ROUND(G208*20/1000,0))</f>
        <v/>
      </c>
      <c r="K208" s="1">
        <f>IF(F208="","",ROUND(F208*0.10,0))</f>
        <v/>
      </c>
      <c r="L208" s="3">
        <f>IF(K208="","",ROUND(K208*5/1000,0))</f>
        <v/>
      </c>
      <c r="M208" s="1">
        <f>IF(F208="","",ROUND(F208*$B$247,0))</f>
        <v/>
      </c>
      <c r="N208">
        <f>IF(M208="","",ROUND(M208*$B$248,0))</f>
        <v/>
      </c>
      <c r="O208">
        <f>IF(N208="","",ROUND(N208*$B$249,0))</f>
        <v/>
      </c>
      <c r="P208" s="3">
        <f>IF(O208="","",ROUND(O208*7.30,0))</f>
        <v/>
      </c>
      <c r="Q208" s="3">
        <f>IF(L208="","",L208+P208)</f>
        <v/>
      </c>
    </row>
    <row r="209">
      <c r="A209" s="1" t="inlineStr">
        <is>
          <t>Tier 3</t>
        </is>
      </c>
      <c r="B209" s="1" t="inlineStr">
        <is>
          <t>AG</t>
        </is>
      </c>
      <c r="C209" s="1" t="n">
        <v>3</v>
      </c>
      <c r="D209" s="1" t="n">
        <v>1</v>
      </c>
      <c r="E209" s="1">
        <f>IFERROR(ROUND(C209/D209,0),"")</f>
        <v/>
      </c>
      <c r="F209" s="1">
        <f>IF(D209="","",D209*$B$244)</f>
        <v/>
      </c>
      <c r="G209" s="1">
        <f>IF(F209="","",ROUND(F209*$B$246,0))</f>
        <v/>
      </c>
      <c r="H209" s="3">
        <f>IF(G209="","",ROUND(G209*10/1000,0))</f>
        <v/>
      </c>
      <c r="I209" s="3">
        <f>IF(G209="","",ROUND(G209*15/1000,0))</f>
        <v/>
      </c>
      <c r="J209" s="3">
        <f>IF(G209="","",ROUND(G209*20/1000,0))</f>
        <v/>
      </c>
      <c r="K209" s="1">
        <f>IF(F209="","",ROUND(F209*0.10,0))</f>
        <v/>
      </c>
      <c r="L209" s="3">
        <f>IF(K209="","",ROUND(K209*5/1000,0))</f>
        <v/>
      </c>
      <c r="M209" s="1">
        <f>IF(F209="","",ROUND(F209*$B$247,0))</f>
        <v/>
      </c>
      <c r="N209">
        <f>IF(M209="","",ROUND(M209*$B$248,0))</f>
        <v/>
      </c>
      <c r="O209">
        <f>IF(N209="","",ROUND(N209*$B$249,0))</f>
        <v/>
      </c>
      <c r="P209" s="3">
        <f>IF(O209="","",ROUND(O209*7.30,0))</f>
        <v/>
      </c>
      <c r="Q209" s="3">
        <f>IF(L209="","",L209+P209)</f>
        <v/>
      </c>
    </row>
    <row r="210">
      <c r="A210" s="1" t="inlineStr">
        <is>
          <t>Tier 3</t>
        </is>
      </c>
      <c r="B210" s="1" t="inlineStr">
        <is>
          <t>GQ</t>
        </is>
      </c>
      <c r="C210" s="1" t="n">
        <v>3</v>
      </c>
      <c r="D210" s="1" t="n">
        <v>1</v>
      </c>
      <c r="E210" s="1">
        <f>IFERROR(ROUND(C210/D210,0),"")</f>
        <v/>
      </c>
      <c r="F210" s="1">
        <f>IF(D210="","",D210*$B$244)</f>
        <v/>
      </c>
      <c r="G210" s="1">
        <f>IF(F210="","",ROUND(F210*$B$246,0))</f>
        <v/>
      </c>
      <c r="H210" s="3">
        <f>IF(G210="","",ROUND(G210*10/1000,0))</f>
        <v/>
      </c>
      <c r="I210" s="3">
        <f>IF(G210="","",ROUND(G210*15/1000,0))</f>
        <v/>
      </c>
      <c r="J210" s="3">
        <f>IF(G210="","",ROUND(G210*20/1000,0))</f>
        <v/>
      </c>
      <c r="K210" s="1">
        <f>IF(F210="","",ROUND(F210*0.10,0))</f>
        <v/>
      </c>
      <c r="L210" s="3">
        <f>IF(K210="","",ROUND(K210*5/1000,0))</f>
        <v/>
      </c>
      <c r="M210" s="1">
        <f>IF(F210="","",ROUND(F210*$B$247,0))</f>
        <v/>
      </c>
      <c r="N210">
        <f>IF(M210="","",ROUND(M210*$B$248,0))</f>
        <v/>
      </c>
      <c r="O210">
        <f>IF(N210="","",ROUND(N210*$B$249,0))</f>
        <v/>
      </c>
      <c r="P210" s="3">
        <f>IF(O210="","",ROUND(O210*7.30,0))</f>
        <v/>
      </c>
      <c r="Q210" s="3">
        <f>IF(L210="","",L210+P210)</f>
        <v/>
      </c>
    </row>
    <row r="211">
      <c r="A211" s="1" t="inlineStr">
        <is>
          <t>Tier 3</t>
        </is>
      </c>
      <c r="B211" s="1" t="inlineStr">
        <is>
          <t>mn</t>
        </is>
      </c>
      <c r="C211" s="1" t="n">
        <v>2</v>
      </c>
      <c r="D211" s="1" t="n">
        <v>1</v>
      </c>
      <c r="E211" s="1">
        <f>IFERROR(ROUND(C211/D211,0),"")</f>
        <v/>
      </c>
      <c r="F211" s="1">
        <f>IF(D211="","",D211*$B$244)</f>
        <v/>
      </c>
      <c r="G211" s="1">
        <f>IF(F211="","",ROUND(F211*$B$246,0))</f>
        <v/>
      </c>
      <c r="H211" s="3">
        <f>IF(G211="","",ROUND(G211*10/1000,0))</f>
        <v/>
      </c>
      <c r="I211" s="3">
        <f>IF(G211="","",ROUND(G211*15/1000,0))</f>
        <v/>
      </c>
      <c r="J211" s="3">
        <f>IF(G211="","",ROUND(G211*20/1000,0))</f>
        <v/>
      </c>
      <c r="K211" s="1">
        <f>IF(F211="","",ROUND(F211*0.10,0))</f>
        <v/>
      </c>
      <c r="L211" s="3">
        <f>IF(K211="","",ROUND(K211*5/1000,0))</f>
        <v/>
      </c>
      <c r="M211" s="1">
        <f>IF(F211="","",ROUND(F211*$B$247,0))</f>
        <v/>
      </c>
      <c r="N211">
        <f>IF(M211="","",ROUND(M211*$B$248,0))</f>
        <v/>
      </c>
      <c r="O211">
        <f>IF(N211="","",ROUND(N211*$B$249,0))</f>
        <v/>
      </c>
      <c r="P211" s="3">
        <f>IF(O211="","",ROUND(O211*7.30,0))</f>
        <v/>
      </c>
      <c r="Q211" s="3">
        <f>IF(L211="","",L211+P211)</f>
        <v/>
      </c>
    </row>
    <row r="212">
      <c r="A212" s="1" t="inlineStr">
        <is>
          <t>Tier 3</t>
        </is>
      </c>
      <c r="B212" s="1" t="inlineStr">
        <is>
          <t>mn</t>
        </is>
      </c>
      <c r="C212" s="1" t="n">
        <v>2</v>
      </c>
      <c r="D212" s="1" t="n">
        <v>1</v>
      </c>
      <c r="E212" s="1">
        <f>IFERROR(ROUND(C212/D212,0),"")</f>
        <v/>
      </c>
      <c r="F212" s="1">
        <f>IF(D212="","",D212*$B$244)</f>
        <v/>
      </c>
      <c r="G212" s="1">
        <f>IF(F212="","",ROUND(F212*$B$246,0))</f>
        <v/>
      </c>
      <c r="H212" s="3">
        <f>IF(G212="","",ROUND(G212*10/1000,0))</f>
        <v/>
      </c>
      <c r="I212" s="3">
        <f>IF(G212="","",ROUND(G212*15/1000,0))</f>
        <v/>
      </c>
      <c r="J212" s="3">
        <f>IF(G212="","",ROUND(G212*20/1000,0))</f>
        <v/>
      </c>
      <c r="K212" s="1">
        <f>IF(F212="","",ROUND(F212*0.10,0))</f>
        <v/>
      </c>
      <c r="L212" s="3">
        <f>IF(K212="","",ROUND(K212*5/1000,0))</f>
        <v/>
      </c>
      <c r="M212" s="1">
        <f>IF(F212="","",ROUND(F212*$B$247,0))</f>
        <v/>
      </c>
      <c r="N212">
        <f>IF(M212="","",ROUND(M212*$B$248,0))</f>
        <v/>
      </c>
      <c r="O212">
        <f>IF(N212="","",ROUND(N212*$B$249,0))</f>
        <v/>
      </c>
      <c r="P212" s="3">
        <f>IF(O212="","",ROUND(O212*7.30,0))</f>
        <v/>
      </c>
      <c r="Q212" s="3">
        <f>IF(L212="","",L212+P212)</f>
        <v/>
      </c>
    </row>
    <row r="213">
      <c r="A213" s="1" t="inlineStr">
        <is>
          <t>Tier 3</t>
        </is>
      </c>
      <c r="B213" s="1" t="inlineStr">
        <is>
          <t>TZ</t>
        </is>
      </c>
      <c r="C213" s="1" t="n">
        <v>2</v>
      </c>
      <c r="D213" s="1" t="n">
        <v>1</v>
      </c>
      <c r="E213" s="1">
        <f>IFERROR(ROUND(C213/D213,0),"")</f>
        <v/>
      </c>
      <c r="F213" s="1">
        <f>IF(D213="","",D213*$B$244)</f>
        <v/>
      </c>
      <c r="G213" s="1">
        <f>IF(F213="","",ROUND(F213*$B$246,0))</f>
        <v/>
      </c>
      <c r="H213" s="3">
        <f>IF(G213="","",ROUND(G213*10/1000,0))</f>
        <v/>
      </c>
      <c r="I213" s="3">
        <f>IF(G213="","",ROUND(G213*15/1000,0))</f>
        <v/>
      </c>
      <c r="J213" s="3">
        <f>IF(G213="","",ROUND(G213*20/1000,0))</f>
        <v/>
      </c>
      <c r="K213" s="1">
        <f>IF(F213="","",ROUND(F213*0.10,0))</f>
        <v/>
      </c>
      <c r="L213" s="3">
        <f>IF(K213="","",ROUND(K213*5/1000,0))</f>
        <v/>
      </c>
      <c r="M213" s="1">
        <f>IF(F213="","",ROUND(F213*$B$247,0))</f>
        <v/>
      </c>
      <c r="N213">
        <f>IF(M213="","",ROUND(M213*$B$248,0))</f>
        <v/>
      </c>
      <c r="O213">
        <f>IF(N213="","",ROUND(N213*$B$249,0))</f>
        <v/>
      </c>
      <c r="P213" s="3">
        <f>IF(O213="","",ROUND(O213*7.30,0))</f>
        <v/>
      </c>
      <c r="Q213" s="3">
        <f>IF(L213="","",L213+P213)</f>
        <v/>
      </c>
    </row>
    <row r="214">
      <c r="A214" s="1" t="inlineStr">
        <is>
          <t>Tier 3</t>
        </is>
      </c>
      <c r="B214" s="1" t="inlineStr">
        <is>
          <t>ZM</t>
        </is>
      </c>
      <c r="C214" s="1" t="n">
        <v>2</v>
      </c>
      <c r="D214" s="1" t="n">
        <v>1</v>
      </c>
      <c r="E214" s="1">
        <f>IFERROR(ROUND(C214/D214,0),"")</f>
        <v/>
      </c>
      <c r="F214" s="1">
        <f>IF(D214="","",D214*$B$244)</f>
        <v/>
      </c>
      <c r="G214" s="1">
        <f>IF(F214="","",ROUND(F214*$B$246,0))</f>
        <v/>
      </c>
      <c r="H214" s="3">
        <f>IF(G214="","",ROUND(G214*10/1000,0))</f>
        <v/>
      </c>
      <c r="I214" s="3">
        <f>IF(G214="","",ROUND(G214*15/1000,0))</f>
        <v/>
      </c>
      <c r="J214" s="3">
        <f>IF(G214="","",ROUND(G214*20/1000,0))</f>
        <v/>
      </c>
      <c r="K214" s="1">
        <f>IF(F214="","",ROUND(F214*0.10,0))</f>
        <v/>
      </c>
      <c r="L214" s="3">
        <f>IF(K214="","",ROUND(K214*5/1000,0))</f>
        <v/>
      </c>
      <c r="M214" s="1">
        <f>IF(F214="","",ROUND(F214*$B$247,0))</f>
        <v/>
      </c>
      <c r="N214">
        <f>IF(M214="","",ROUND(M214*$B$248,0))</f>
        <v/>
      </c>
      <c r="O214">
        <f>IF(N214="","",ROUND(N214*$B$249,0))</f>
        <v/>
      </c>
      <c r="P214" s="3">
        <f>IF(O214="","",ROUND(O214*7.30,0))</f>
        <v/>
      </c>
      <c r="Q214" s="3">
        <f>IF(L214="","",L214+P214)</f>
        <v/>
      </c>
    </row>
    <row r="215">
      <c r="A215" s="1" t="inlineStr">
        <is>
          <t>Tier 3</t>
        </is>
      </c>
      <c r="B215" s="1" t="inlineStr">
        <is>
          <t>ZM</t>
        </is>
      </c>
      <c r="C215" s="1" t="n">
        <v>2</v>
      </c>
      <c r="D215" s="1" t="n">
        <v>1</v>
      </c>
      <c r="E215" s="1">
        <f>IFERROR(ROUND(C215/D215,0),"")</f>
        <v/>
      </c>
      <c r="F215" s="1">
        <f>IF(D215="","",D215*$B$244)</f>
        <v/>
      </c>
      <c r="G215" s="1">
        <f>IF(F215="","",ROUND(F215*$B$246,0))</f>
        <v/>
      </c>
      <c r="H215" s="3">
        <f>IF(G215="","",ROUND(G215*10/1000,0))</f>
        <v/>
      </c>
      <c r="I215" s="3">
        <f>IF(G215="","",ROUND(G215*15/1000,0))</f>
        <v/>
      </c>
      <c r="J215" s="3">
        <f>IF(G215="","",ROUND(G215*20/1000,0))</f>
        <v/>
      </c>
      <c r="K215" s="1">
        <f>IF(F215="","",ROUND(F215*0.10,0))</f>
        <v/>
      </c>
      <c r="L215" s="3">
        <f>IF(K215="","",ROUND(K215*5/1000,0))</f>
        <v/>
      </c>
      <c r="M215" s="1">
        <f>IF(F215="","",ROUND(F215*$B$247,0))</f>
        <v/>
      </c>
      <c r="N215">
        <f>IF(M215="","",ROUND(M215*$B$248,0))</f>
        <v/>
      </c>
      <c r="O215">
        <f>IF(N215="","",ROUND(N215*$B$249,0))</f>
        <v/>
      </c>
      <c r="P215" s="3">
        <f>IF(O215="","",ROUND(O215*7.30,0))</f>
        <v/>
      </c>
      <c r="Q215" s="3">
        <f>IF(L215="","",L215+P215)</f>
        <v/>
      </c>
    </row>
    <row r="216">
      <c r="A216" s="1" t="inlineStr">
        <is>
          <t>Tier 3</t>
        </is>
      </c>
      <c r="B216" s="1" t="inlineStr">
        <is>
          <t>bg</t>
        </is>
      </c>
      <c r="C216" s="1" t="n">
        <v>1</v>
      </c>
      <c r="D216" s="1" t="n">
        <v>1</v>
      </c>
      <c r="E216" s="1">
        <f>IFERROR(ROUND(C216/D216,0),"")</f>
        <v/>
      </c>
      <c r="F216" s="1">
        <f>IF(D216="","",D216*$B$244)</f>
        <v/>
      </c>
      <c r="G216" s="1">
        <f>IF(F216="","",ROUND(F216*$B$246,0))</f>
        <v/>
      </c>
      <c r="H216" s="3">
        <f>IF(G216="","",ROUND(G216*10/1000,0))</f>
        <v/>
      </c>
      <c r="I216" s="3">
        <f>IF(G216="","",ROUND(G216*15/1000,0))</f>
        <v/>
      </c>
      <c r="J216" s="3">
        <f>IF(G216="","",ROUND(G216*20/1000,0))</f>
        <v/>
      </c>
      <c r="K216" s="1">
        <f>IF(F216="","",ROUND(F216*0.10,0))</f>
        <v/>
      </c>
      <c r="L216" s="3">
        <f>IF(K216="","",ROUND(K216*5/1000,0))</f>
        <v/>
      </c>
      <c r="M216" s="1">
        <f>IF(F216="","",ROUND(F216*$B$247,0))</f>
        <v/>
      </c>
      <c r="N216">
        <f>IF(M216="","",ROUND(M216*$B$248,0))</f>
        <v/>
      </c>
      <c r="O216">
        <f>IF(N216="","",ROUND(N216*$B$249,0))</f>
        <v/>
      </c>
      <c r="P216" s="3">
        <f>IF(O216="","",ROUND(O216*7.30,0))</f>
        <v/>
      </c>
      <c r="Q216" s="3">
        <f>IF(L216="","",L216+P216)</f>
        <v/>
      </c>
    </row>
    <row r="217">
      <c r="A217" s="1" t="inlineStr">
        <is>
          <t>Tier 3</t>
        </is>
      </c>
      <c r="B217" s="1" t="inlineStr">
        <is>
          <t>SD</t>
        </is>
      </c>
      <c r="C217" s="1" t="n">
        <v>1</v>
      </c>
      <c r="D217" s="1" t="n">
        <v>1</v>
      </c>
      <c r="E217" s="1">
        <f>IFERROR(ROUND(C217/D217,0),"")</f>
        <v/>
      </c>
      <c r="F217" s="1">
        <f>IF(D217="","",D217*$B$244)</f>
        <v/>
      </c>
      <c r="G217" s="1">
        <f>IF(F217="","",ROUND(F217*$B$246,0))</f>
        <v/>
      </c>
      <c r="H217" s="3">
        <f>IF(G217="","",ROUND(G217*10/1000,0))</f>
        <v/>
      </c>
      <c r="I217" s="3">
        <f>IF(G217="","",ROUND(G217*15/1000,0))</f>
        <v/>
      </c>
      <c r="J217" s="3">
        <f>IF(G217="","",ROUND(G217*20/1000,0))</f>
        <v/>
      </c>
      <c r="K217" s="1">
        <f>IF(F217="","",ROUND(F217*0.10,0))</f>
        <v/>
      </c>
      <c r="L217" s="3">
        <f>IF(K217="","",ROUND(K217*5/1000,0))</f>
        <v/>
      </c>
      <c r="M217" s="1">
        <f>IF(F217="","",ROUND(F217*$B$247,0))</f>
        <v/>
      </c>
      <c r="N217">
        <f>IF(M217="","",ROUND(M217*$B$248,0))</f>
        <v/>
      </c>
      <c r="O217">
        <f>IF(N217="","",ROUND(N217*$B$249,0))</f>
        <v/>
      </c>
      <c r="P217" s="3">
        <f>IF(O217="","",ROUND(O217*7.30,0))</f>
        <v/>
      </c>
      <c r="Q217" s="3">
        <f>IF(L217="","",L217+P217)</f>
        <v/>
      </c>
    </row>
    <row r="218">
      <c r="A218" s="1" t="inlineStr">
        <is>
          <t>Tier 3</t>
        </is>
      </c>
      <c r="B218" s="1" t="inlineStr">
        <is>
          <t>SD</t>
        </is>
      </c>
      <c r="C218" s="1" t="n">
        <v>1</v>
      </c>
      <c r="D218" s="1" t="n">
        <v>1</v>
      </c>
      <c r="E218" s="1">
        <f>IFERROR(ROUND(C218/D218,0),"")</f>
        <v/>
      </c>
      <c r="F218" s="1">
        <f>IF(D218="","",D218*$B$244)</f>
        <v/>
      </c>
      <c r="G218" s="1">
        <f>IF(F218="","",ROUND(F218*$B$246,0))</f>
        <v/>
      </c>
      <c r="H218" s="3">
        <f>IF(G218="","",ROUND(G218*10/1000,0))</f>
        <v/>
      </c>
      <c r="I218" s="3">
        <f>IF(G218="","",ROUND(G218*15/1000,0))</f>
        <v/>
      </c>
      <c r="J218" s="3">
        <f>IF(G218="","",ROUND(G218*20/1000,0))</f>
        <v/>
      </c>
      <c r="K218" s="1">
        <f>IF(F218="","",ROUND(F218*0.10,0))</f>
        <v/>
      </c>
      <c r="L218" s="3">
        <f>IF(K218="","",ROUND(K218*5/1000,0))</f>
        <v/>
      </c>
      <c r="M218" s="1">
        <f>IF(F218="","",ROUND(F218*$B$247,0))</f>
        <v/>
      </c>
      <c r="N218">
        <f>IF(M218="","",ROUND(M218*$B$248,0))</f>
        <v/>
      </c>
      <c r="O218">
        <f>IF(N218="","",ROUND(N218*$B$249,0))</f>
        <v/>
      </c>
      <c r="P218" s="3">
        <f>IF(O218="","",ROUND(O218*7.30,0))</f>
        <v/>
      </c>
      <c r="Q218" s="3">
        <f>IF(L218="","",L218+P218)</f>
        <v/>
      </c>
    </row>
    <row r="219">
      <c r="A219" s="1" t="inlineStr">
        <is>
          <t>Tier 3</t>
        </is>
      </c>
      <c r="B219" s="1" t="inlineStr">
        <is>
          <t>vn</t>
        </is>
      </c>
      <c r="C219" s="1" t="n">
        <v>1</v>
      </c>
      <c r="D219" s="1" t="n">
        <v>1</v>
      </c>
      <c r="E219" s="1">
        <f>IFERROR(ROUND(C219/D219,0),"")</f>
        <v/>
      </c>
      <c r="F219" s="1">
        <f>IF(D219="","",D219*$B$244)</f>
        <v/>
      </c>
      <c r="G219" s="1">
        <f>IF(F219="","",ROUND(F219*$B$246,0))</f>
        <v/>
      </c>
      <c r="H219" s="3">
        <f>IF(G219="","",ROUND(G219*10/1000,0))</f>
        <v/>
      </c>
      <c r="I219" s="3">
        <f>IF(G219="","",ROUND(G219*15/1000,0))</f>
        <v/>
      </c>
      <c r="J219" s="3">
        <f>IF(G219="","",ROUND(G219*20/1000,0))</f>
        <v/>
      </c>
      <c r="K219" s="1">
        <f>IF(F219="","",ROUND(F219*0.10,0))</f>
        <v/>
      </c>
      <c r="L219" s="3">
        <f>IF(K219="","",ROUND(K219*5/1000,0))</f>
        <v/>
      </c>
      <c r="M219" s="1">
        <f>IF(F219="","",ROUND(F219*$B$247,0))</f>
        <v/>
      </c>
      <c r="N219">
        <f>IF(M219="","",ROUND(M219*$B$248,0))</f>
        <v/>
      </c>
      <c r="O219">
        <f>IF(N219="","",ROUND(N219*$B$249,0))</f>
        <v/>
      </c>
      <c r="P219" s="3">
        <f>IF(O219="","",ROUND(O219*7.30,0))</f>
        <v/>
      </c>
      <c r="Q219" s="3">
        <f>IF(L219="","",L219+P219)</f>
        <v/>
      </c>
    </row>
    <row r="220">
      <c r="A220" s="1" t="inlineStr">
        <is>
          <t>Tier 3</t>
        </is>
      </c>
      <c r="B220" s="1" t="inlineStr">
        <is>
          <t>vn</t>
        </is>
      </c>
      <c r="C220" s="1" t="n">
        <v>1</v>
      </c>
      <c r="D220" s="1" t="n">
        <v>1</v>
      </c>
      <c r="E220" s="1">
        <f>IFERROR(ROUND(C220/D220,0),"")</f>
        <v/>
      </c>
      <c r="F220" s="1">
        <f>IF(D220="","",D220*$B$244)</f>
        <v/>
      </c>
      <c r="G220" s="1">
        <f>IF(F220="","",ROUND(F220*$B$246,0))</f>
        <v/>
      </c>
      <c r="H220" s="3">
        <f>IF(G220="","",ROUND(G220*10/1000,0))</f>
        <v/>
      </c>
      <c r="I220" s="3">
        <f>IF(G220="","",ROUND(G220*15/1000,0))</f>
        <v/>
      </c>
      <c r="J220" s="3">
        <f>IF(G220="","",ROUND(G220*20/1000,0))</f>
        <v/>
      </c>
      <c r="K220" s="1">
        <f>IF(F220="","",ROUND(F220*0.10,0))</f>
        <v/>
      </c>
      <c r="L220" s="3">
        <f>IF(K220="","",ROUND(K220*5/1000,0))</f>
        <v/>
      </c>
      <c r="M220" s="1">
        <f>IF(F220="","",ROUND(F220*$B$247,0))</f>
        <v/>
      </c>
      <c r="N220">
        <f>IF(M220="","",ROUND(M220*$B$248,0))</f>
        <v/>
      </c>
      <c r="O220">
        <f>IF(N220="","",ROUND(N220*$B$249,0))</f>
        <v/>
      </c>
      <c r="P220" s="3">
        <f>IF(O220="","",ROUND(O220*7.30,0))</f>
        <v/>
      </c>
      <c r="Q220" s="3">
        <f>IF(L220="","",L220+P220)</f>
        <v/>
      </c>
    </row>
    <row r="221">
      <c r="A221" s="1" t="inlineStr">
        <is>
          <t>Excluded (RU)</t>
        </is>
      </c>
      <c r="B221" s="1" t="inlineStr">
        <is>
          <t>RU</t>
        </is>
      </c>
      <c r="C221" s="2" t="n">
        <v>19117358</v>
      </c>
      <c r="D221" s="2" t="n">
        <v>488448</v>
      </c>
      <c r="E221" s="1">
        <f>IFERROR(ROUND(C221/D221,0),"")</f>
        <v/>
      </c>
      <c r="F221" s="2">
        <f>IF(D221="","",D221*$B$244)</f>
        <v/>
      </c>
      <c r="H221" s="3" t="n">
        <v>0</v>
      </c>
      <c r="I221" s="3" t="n">
        <v>0</v>
      </c>
      <c r="J221" s="3" t="n">
        <v>0</v>
      </c>
      <c r="L221" s="3" t="n">
        <v>0</v>
      </c>
      <c r="M221" s="2">
        <f>IF(F221="","",ROUND(F221*$B$247,0))</f>
        <v/>
      </c>
      <c r="N221" s="2">
        <f>IF(M221="","",ROUND(M221*$B$248,0))</f>
        <v/>
      </c>
      <c r="O221" s="2">
        <f>IF(N221="","",ROUND(N221*$B$249,0))</f>
        <v/>
      </c>
      <c r="P221" s="3">
        <f>IF(O221="","",ROUND(O221*7.30,0))</f>
        <v/>
      </c>
      <c r="Q221" s="3">
        <f>P221</f>
        <v/>
      </c>
    </row>
    <row r="222">
      <c r="A222" s="1" t="inlineStr">
        <is>
          <t>Excluded (RU)</t>
        </is>
      </c>
      <c r="B222" s="1" t="inlineStr">
        <is>
          <t>ru</t>
        </is>
      </c>
      <c r="C222" s="2" t="n">
        <v>1643</v>
      </c>
      <c r="D222" s="1" t="n">
        <v>351</v>
      </c>
      <c r="E222" s="1">
        <f>IFERROR(ROUND(C222/D222,0),"")</f>
        <v/>
      </c>
      <c r="F222" s="2">
        <f>IF(D222="","",D222*$B$244)</f>
        <v/>
      </c>
      <c r="H222" s="3" t="n">
        <v>0</v>
      </c>
      <c r="I222" s="3" t="n">
        <v>0</v>
      </c>
      <c r="J222" s="3" t="n">
        <v>0</v>
      </c>
      <c r="L222" s="3" t="n">
        <v>0</v>
      </c>
      <c r="M222" s="2">
        <f>IF(F222="","",ROUND(F222*$B$247,0))</f>
        <v/>
      </c>
      <c r="N222">
        <f>IF(M222="","",ROUND(M222*$B$248,0))</f>
        <v/>
      </c>
      <c r="O222">
        <f>IF(N222="","",ROUND(N222*$B$249,0))</f>
        <v/>
      </c>
      <c r="P222" s="3">
        <f>IF(O222="","",ROUND(O222*7.30,0))</f>
        <v/>
      </c>
      <c r="Q222" s="3">
        <f>P222</f>
        <v/>
      </c>
    </row>
    <row r="223"/>
    <row r="224"/>
    <row r="225">
      <c r="A225" s="1" t="inlineStr">
        <is>
          <t>SUBTOTALS BY TIER</t>
        </is>
      </c>
    </row>
    <row r="226">
      <c r="A226" s="1" t="inlineStr">
        <is>
          <t>Tier 1</t>
        </is>
      </c>
      <c r="B226" s="1" t="inlineStr">
        <is>
          <t>8 countries</t>
        </is>
      </c>
      <c r="C226" s="2">
        <f>SUM(C2:C9)</f>
        <v/>
      </c>
      <c r="D226" s="2">
        <f>SUM(D2:D9)</f>
        <v/>
      </c>
      <c r="F226" s="2">
        <f>SUM(F2:F9)</f>
        <v/>
      </c>
      <c r="G226" s="2">
        <f>SUM(G2:G9)</f>
        <v/>
      </c>
      <c r="H226" s="3">
        <f>SUM(H2:H9)</f>
        <v/>
      </c>
      <c r="I226" s="3">
        <f>SUM(I2:I9)</f>
        <v/>
      </c>
      <c r="J226" s="3">
        <f>SUM(J2:J9)</f>
        <v/>
      </c>
      <c r="K226" s="2">
        <f>SUM(K2:K9)</f>
        <v/>
      </c>
      <c r="L226" s="3">
        <f>SUM(L2:L9)</f>
        <v/>
      </c>
      <c r="M226" s="2">
        <f>SUM(M2:M9)</f>
        <v/>
      </c>
      <c r="N226" s="2">
        <f>SUM(N2:N9)</f>
        <v/>
      </c>
      <c r="O226" s="2">
        <f>SUM(O2:O9)</f>
        <v/>
      </c>
      <c r="P226" s="3">
        <f>SUM(P2:P9)</f>
        <v/>
      </c>
      <c r="Q226" s="3">
        <f>SUM(Q2:Q9)</f>
        <v/>
      </c>
    </row>
    <row r="227">
      <c r="A227" s="1" t="inlineStr">
        <is>
          <t>Tier 2</t>
        </is>
      </c>
      <c r="B227" s="1" t="inlineStr">
        <is>
          <t>5 countries</t>
        </is>
      </c>
      <c r="C227" s="2">
        <f>SUM(C10:C14)</f>
        <v/>
      </c>
      <c r="D227" s="2">
        <f>SUM(D10:D14)</f>
        <v/>
      </c>
      <c r="F227" s="2">
        <f>SUM(F10:F14)</f>
        <v/>
      </c>
      <c r="G227" s="2">
        <f>SUM(G10:G14)</f>
        <v/>
      </c>
      <c r="H227" s="3">
        <f>SUM(H10:H14)</f>
        <v/>
      </c>
      <c r="I227" s="3">
        <f>SUM(I10:I14)</f>
        <v/>
      </c>
      <c r="J227" s="3">
        <f>SUM(J10:J14)</f>
        <v/>
      </c>
      <c r="K227" s="2">
        <f>SUM(K10:K14)</f>
        <v/>
      </c>
      <c r="L227" s="3">
        <f>SUM(L10:L14)</f>
        <v/>
      </c>
      <c r="M227" s="2">
        <f>SUM(M10:M14)</f>
        <v/>
      </c>
      <c r="N227" s="2">
        <f>SUM(N10:N14)</f>
        <v/>
      </c>
      <c r="O227" s="2">
        <f>SUM(O10:O14)</f>
        <v/>
      </c>
      <c r="P227" s="3">
        <f>SUM(P10:P14)</f>
        <v/>
      </c>
      <c r="Q227" s="3">
        <f>SUM(Q10:Q14)</f>
        <v/>
      </c>
    </row>
    <row r="228">
      <c r="A228" s="1" t="inlineStr">
        <is>
          <t>Tier 3</t>
        </is>
      </c>
      <c r="B228" s="1" t="inlineStr">
        <is>
          <t>206 countries</t>
        </is>
      </c>
      <c r="C228" s="2">
        <f>SUM(C15:C220)</f>
        <v/>
      </c>
      <c r="D228" s="2">
        <f>SUM(D15:D220)</f>
        <v/>
      </c>
      <c r="F228" s="2">
        <f>SUM(F15:F220)</f>
        <v/>
      </c>
      <c r="G228" s="2">
        <f>SUM(G15:G220)</f>
        <v/>
      </c>
      <c r="H228" s="3">
        <f>SUM(H15:H220)</f>
        <v/>
      </c>
      <c r="I228" s="3">
        <f>SUM(I15:I220)</f>
        <v/>
      </c>
      <c r="J228" s="3">
        <f>SUM(J15:J220)</f>
        <v/>
      </c>
      <c r="K228" s="2">
        <f>SUM(K15:K220)</f>
        <v/>
      </c>
      <c r="L228" s="3">
        <f>SUM(L15:L220)</f>
        <v/>
      </c>
      <c r="M228" s="2">
        <f>SUM(M15:M220)</f>
        <v/>
      </c>
      <c r="N228" s="2">
        <f>SUM(N15:N220)</f>
        <v/>
      </c>
      <c r="O228" s="2">
        <f>SUM(O15:O220)</f>
        <v/>
      </c>
      <c r="P228" s="3">
        <f>SUM(P15:P220)</f>
        <v/>
      </c>
      <c r="Q228" s="3">
        <f>SUM(Q15:Q220)</f>
        <v/>
      </c>
    </row>
    <row r="229">
      <c r="A229" s="1" t="inlineStr">
        <is>
          <t>Excluded (RU)</t>
        </is>
      </c>
      <c r="B229" s="1" t="inlineStr">
        <is>
          <t>2 countries</t>
        </is>
      </c>
      <c r="C229" s="2">
        <f>SUM(C221:C222)</f>
        <v/>
      </c>
      <c r="D229" s="2">
        <f>SUM(D221:D222)</f>
        <v/>
      </c>
      <c r="F229" s="2">
        <f>SUM(F221:F222)</f>
        <v/>
      </c>
      <c r="H229" s="3">
        <f>SUM(H221:H222)</f>
        <v/>
      </c>
      <c r="I229" s="3">
        <f>SUM(I221:I222)</f>
        <v/>
      </c>
      <c r="J229" s="3">
        <f>SUM(J221:J222)</f>
        <v/>
      </c>
      <c r="L229" s="3">
        <f>SUM(L221:L222)</f>
        <v/>
      </c>
      <c r="M229" s="2">
        <f>SUM(M221:M222)</f>
        <v/>
      </c>
      <c r="N229" s="2">
        <f>SUM(N221:N222)</f>
        <v/>
      </c>
      <c r="O229" s="2">
        <f>SUM(O221:O222)</f>
        <v/>
      </c>
      <c r="P229" s="3">
        <f>SUM(P221:P222)</f>
        <v/>
      </c>
      <c r="Q229" s="3">
        <f>SUM(Q221:Q222)</f>
        <v/>
      </c>
    </row>
    <row r="230">
      <c r="A230" s="1" t="inlineStr">
        <is>
          <t>GRAND TOTAL</t>
        </is>
      </c>
      <c r="B230" s="1" t="inlineStr">
        <is>
          <t>All</t>
        </is>
      </c>
      <c r="C230" s="2">
        <f>SUM(C226:C229)</f>
        <v/>
      </c>
      <c r="D230" s="2">
        <f>SUM(D226:D229)</f>
        <v/>
      </c>
      <c r="F230" s="2">
        <f>SUM(F226:F229)</f>
        <v/>
      </c>
      <c r="G230" s="2">
        <f>SUM(G226:G229)</f>
        <v/>
      </c>
      <c r="H230" s="3">
        <f>SUM(H226:H229)</f>
        <v/>
      </c>
      <c r="I230" s="3">
        <f>SUM(I226:I229)</f>
        <v/>
      </c>
      <c r="J230" s="3">
        <f>SUM(J226:J229)</f>
        <v/>
      </c>
      <c r="K230" s="2">
        <f>SUM(K226:K229)</f>
        <v/>
      </c>
      <c r="L230" s="3">
        <f>SUM(L226:L229)</f>
        <v/>
      </c>
      <c r="M230" s="2">
        <f>SUM(M226:M229)</f>
        <v/>
      </c>
      <c r="N230" s="2">
        <f>SUM(N226:N229)</f>
        <v/>
      </c>
      <c r="O230" s="2">
        <f>SUM(O226:O229)</f>
        <v/>
      </c>
      <c r="P230" s="3">
        <f>SUM(P226:P229)</f>
        <v/>
      </c>
      <c r="Q230" s="3">
        <f>SUM(Q226:Q229)</f>
        <v/>
      </c>
    </row>
    <row r="231"/>
    <row r="232"/>
    <row r="233">
      <c r="A233" s="1" t="inlineStr">
        <is>
          <t>SCENARIO COMPARISON (ANNUAL)</t>
        </is>
      </c>
    </row>
    <row r="234"/>
    <row r="235">
      <c r="A235" s="1" t="inlineStr">
        <is>
          <t>Scenario</t>
        </is>
      </c>
      <c r="B235" s="1" t="inlineStr">
        <is>
          <t>Fill Rate</t>
        </is>
      </c>
      <c r="C235" s="1" t="inlineStr">
        <is>
          <t>CPM Assumption</t>
        </is>
      </c>
      <c r="D235" s="1" t="inlineStr">
        <is>
          <t>Tier 1 Annual</t>
        </is>
      </c>
      <c r="E235" s="1" t="inlineStr">
        <is>
          <t>Tier 2 Annual</t>
        </is>
      </c>
      <c r="F235" s="1" t="inlineStr">
        <is>
          <t>RoW Annual</t>
        </is>
      </c>
      <c r="G235" s="1" t="inlineStr">
        <is>
          <t>Total Ad Rev (Annual)</t>
        </is>
      </c>
      <c r="H235" s="1" t="inlineStr">
        <is>
          <t>Subs Rev (Annual)</t>
        </is>
      </c>
      <c r="I235" s="1" t="inlineStr">
        <is>
          <t>Combined (Annual)</t>
        </is>
      </c>
    </row>
    <row r="236">
      <c r="A236" s="1" t="inlineStr">
        <is>
          <t>Conservative (Year 1)</t>
        </is>
      </c>
      <c r="B236" s="1" t="inlineStr">
        <is>
          <t>20% T1/T2 - 10% RoW</t>
        </is>
      </c>
      <c r="C236" s="1" t="inlineStr">
        <is>
          <t>T1 $15 / T2 $10 / RoW $5</t>
        </is>
      </c>
      <c r="D236" s="3" t="n">
        <v>185</v>
      </c>
      <c r="E236" s="1" t="n">
        <v>280</v>
      </c>
      <c r="F236" s="3" t="n">
        <v>178</v>
      </c>
      <c r="G236" s="1" t="n">
        <v>680</v>
      </c>
      <c r="H236" s="3" t="n">
        <v>121</v>
      </c>
      <c r="I236" s="1" t="n">
        <v>825</v>
      </c>
      <c r="J236" s="3" t="n">
        <v>485</v>
      </c>
      <c r="K236" s="1" t="n">
        <v>785</v>
      </c>
      <c r="L236" s="3" t="n">
        <v>810</v>
      </c>
      <c r="M236" s="1" t="n">
        <v>324</v>
      </c>
      <c r="N236" s="3" t="n">
        <v>1</v>
      </c>
      <c r="O236" s="1" t="n">
        <v>296</v>
      </c>
      <c r="P236" s="1" t="n">
        <v>109</v>
      </c>
    </row>
    <row r="237">
      <c r="A237" s="1" t="inlineStr">
        <is>
          <t>Mid Case</t>
        </is>
      </c>
      <c r="B237" s="1" t="inlineStr">
        <is>
          <t>20% T1/T2 - 10% RoW</t>
        </is>
      </c>
      <c r="C237" s="1" t="inlineStr">
        <is>
          <t>T1 $20 / T2 $15 / RoW $5</t>
        </is>
      </c>
      <c r="D237" s="3" t="n">
        <v>247</v>
      </c>
      <c r="E237" s="1" t="n">
        <v>56</v>
      </c>
      <c r="F237" s="3" t="n">
        <v>268</v>
      </c>
      <c r="G237" s="1" t="n">
        <v>20</v>
      </c>
      <c r="H237" s="3" t="n">
        <v>121</v>
      </c>
      <c r="I237" s="1" t="n">
        <v>825</v>
      </c>
      <c r="J237" s="3" t="n">
        <v>636</v>
      </c>
      <c r="K237" s="1" t="n">
        <v>901</v>
      </c>
      <c r="L237" s="3" t="n">
        <v>810</v>
      </c>
      <c r="M237" s="1" t="n">
        <v>324</v>
      </c>
      <c r="N237" s="3" t="n">
        <v>1</v>
      </c>
      <c r="O237" s="1" t="n">
        <v>447</v>
      </c>
      <c r="P237" s="1" t="n">
        <v>225</v>
      </c>
    </row>
    <row r="238">
      <c r="A238" s="1" t="inlineStr">
        <is>
          <t>100% Fill Ceiling</t>
        </is>
      </c>
      <c r="B238" s="1" t="inlineStr">
        <is>
          <t>100% all tiers</t>
        </is>
      </c>
      <c r="C238" s="1" t="inlineStr">
        <is>
          <t>T1 $15 / T2 $10 / RoW $5</t>
        </is>
      </c>
      <c r="D238" s="3" t="n">
        <v>926</v>
      </c>
      <c r="E238" s="1" t="n">
        <v>458</v>
      </c>
      <c r="F238" s="3" t="n">
        <v>893</v>
      </c>
      <c r="G238" s="1" t="n">
        <v>387</v>
      </c>
      <c r="H238" s="3" t="n">
        <v>1</v>
      </c>
      <c r="I238" s="1" t="n">
        <v>218</v>
      </c>
      <c r="J238" s="1" t="n">
        <v>274</v>
      </c>
      <c r="K238" s="3" t="n">
        <v>3</v>
      </c>
      <c r="L238" s="1" t="n">
        <v>38</v>
      </c>
      <c r="M238" s="1" t="n">
        <v>119</v>
      </c>
      <c r="N238" s="3" t="n">
        <v>810</v>
      </c>
      <c r="O238" s="1" t="n">
        <v>324</v>
      </c>
      <c r="P238" s="3" t="n">
        <v>3</v>
      </c>
      <c r="Q238" s="1" t="n">
        <v>848</v>
      </c>
      <c r="R238" s="1" t="n">
        <v>443</v>
      </c>
    </row>
    <row r="239"/>
    <row r="240"/>
    <row r="241">
      <c r="A241" s="1" t="inlineStr">
        <is>
          <t>ASSUMPTIONS</t>
        </is>
      </c>
    </row>
    <row r="242"/>
    <row r="243">
      <c r="A243" s="1" t="inlineStr">
        <is>
          <t>Parameter</t>
        </is>
      </c>
      <c r="B243" s="1" t="inlineStr">
        <is>
          <t>Value</t>
        </is>
      </c>
      <c r="C243" s="1" t="inlineStr">
        <is>
          <t>Notes</t>
        </is>
      </c>
    </row>
    <row r="244">
      <c r="A244" s="1" t="inlineStr">
        <is>
          <t>Ad pods per user per month</t>
        </is>
      </c>
      <c r="B244" s="1" t="n">
        <v>28</v>
      </c>
      <c r="C244" s="1" t="inlineStr">
        <is>
          <t>1 pod per daily session × 28 days</t>
        </is>
      </c>
    </row>
    <row r="245">
      <c r="A245" s="1" t="inlineStr">
        <is>
          <t>Slots per ad pod</t>
        </is>
      </c>
      <c r="B245" s="1" t="inlineStr">
        <is>
          <t>Up to 3</t>
        </is>
      </c>
      <c r="C245" s="1" t="inlineStr">
        <is>
          <t>3 × 30s = 90s max per match</t>
        </is>
      </c>
    </row>
    <row r="246">
      <c r="A246" s="1" t="inlineStr">
        <is>
          <t>Paid fill rate (base)</t>
        </is>
      </c>
      <c r="B246" s="4" t="n">
        <v>0.2</v>
      </c>
      <c r="C246" s="1" t="inlineStr">
        <is>
          <t>T1 and T2; 10% for RoW</t>
        </is>
      </c>
    </row>
    <row r="247">
      <c r="A247" s="1" t="inlineStr">
        <is>
          <t>House ads fill</t>
        </is>
      </c>
      <c r="B247" s="4" t="n">
        <v>0.8</v>
      </c>
      <c r="C247" s="1" t="inlineStr">
        <is>
          <t>Unfilled pods serve subscription promotions</t>
        </is>
      </c>
    </row>
    <row r="248">
      <c r="A248" s="1" t="inlineStr">
        <is>
          <t>Subs conversion rate</t>
        </is>
      </c>
      <c r="B248" s="5" t="n">
        <v>0.0005</v>
      </c>
      <c r="C248" s="1" t="inlineStr">
        <is>
          <t>Of house ad viewers</t>
        </is>
      </c>
    </row>
    <row r="249">
      <c r="A249" s="1" t="inlineStr">
        <is>
          <t>Subs cannibalisation</t>
        </is>
      </c>
      <c r="B249" s="4" t="n">
        <v>0.5</v>
      </c>
      <c r="C249" s="1" t="inlineStr">
        <is>
          <t>Half would have subscribed anyway</t>
        </is>
      </c>
    </row>
    <row r="250">
      <c r="A250" s="1" t="inlineStr">
        <is>
          <t>Sub price</t>
        </is>
      </c>
      <c r="B250" s="1" t="inlineStr">
        <is>
          <t>$7.30/month</t>
        </is>
      </c>
      <c r="C250" s="1" t="inlineStr">
        <is>
          <t>FACEIT Premium monthly price</t>
        </is>
      </c>
    </row>
    <row r="251">
      <c r="A251" s="1" t="inlineStr">
        <is>
          <t>Russia</t>
        </is>
      </c>
      <c r="B251" s="1" t="inlineStr">
        <is>
          <t>Excluded</t>
        </is>
      </c>
      <c r="C251" s="1" t="inlineStr">
        <is>
          <t>GAM does not operate in Russia — house ads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251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6" min="3" max="3"/>
    <col width="24.25" customWidth="1" style="6" min="14" max="14"/>
    <col width="25.88" customWidth="1" style="6" min="15" max="15"/>
    <col width="17.5" customWidth="1" style="6" min="17" max="17"/>
  </cols>
  <sheetData>
    <row r="1">
      <c r="A1" s="1" t="inlineStr">
        <is>
          <t>Tier</t>
        </is>
      </c>
      <c r="B1" s="1" t="inlineStr">
        <is>
          <t>Country</t>
        </is>
      </c>
      <c r="C1" s="1" t="inlineStr">
        <is>
          <t>Total Unique Events</t>
        </is>
      </c>
      <c r="D1" s="1" t="inlineStr">
        <is>
          <t>Total Unique Users</t>
        </is>
      </c>
      <c r="E1" s="1" t="inlineStr">
        <is>
          <t>Match Per User</t>
        </is>
      </c>
      <c r="F1" s="1" t="inlineStr">
        <is>
          <t>Impressions per Month</t>
        </is>
      </c>
      <c r="G1" s="1" t="inlineStr">
        <is>
          <t>20% Fill</t>
        </is>
      </c>
      <c r="H1" s="1" t="inlineStr">
        <is>
          <t>$10 CPM</t>
        </is>
      </c>
      <c r="I1" s="1" t="inlineStr">
        <is>
          <t>$15 CPM</t>
        </is>
      </c>
      <c r="J1" s="1" t="inlineStr">
        <is>
          <t>$20 CPM</t>
        </is>
      </c>
      <c r="K1" s="1" t="inlineStr">
        <is>
          <t>10% Fill</t>
        </is>
      </c>
      <c r="L1" s="1" t="inlineStr">
        <is>
          <t>$5 CPM (10% Fill)</t>
        </is>
      </c>
      <c r="M1" s="1" t="inlineStr">
        <is>
          <t>House Ads fill (80%)</t>
        </is>
      </c>
      <c r="N1" s="1" t="inlineStr">
        <is>
          <t>Subs conversion rate</t>
        </is>
      </c>
      <c r="O1" s="1" t="inlineStr">
        <is>
          <t>Subs Cannibalisation (50%)</t>
        </is>
      </c>
      <c r="P1" s="1" t="inlineStr">
        <is>
          <t>Subs Rev</t>
        </is>
      </c>
      <c r="Q1" s="1" t="inlineStr">
        <is>
          <t>TOT REV (Ad + Subs)</t>
        </is>
      </c>
    </row>
    <row r="2">
      <c r="A2" s="1" t="inlineStr">
        <is>
          <t>Tier 1</t>
        </is>
      </c>
      <c r="B2" s="1" t="inlineStr">
        <is>
          <t>DE</t>
        </is>
      </c>
      <c r="C2" s="2" t="n"/>
      <c r="D2" s="2" t="n"/>
      <c r="E2" s="1">
        <f>IFERROR(ROUND(C2/D2,0),"")</f>
        <v/>
      </c>
      <c r="F2" s="2">
        <f>IF(D2="","",D2*$B$244)</f>
        <v/>
      </c>
      <c r="G2" s="2">
        <f>IF(F2="","",ROUND(F2*$B$246,0))</f>
        <v/>
      </c>
      <c r="H2" s="3">
        <f>IF(G2="","",ROUND(G2*10/1000,0))</f>
        <v/>
      </c>
      <c r="I2" s="3">
        <f>IF(G2="","",ROUND(G2*15/1000,0))</f>
        <v/>
      </c>
      <c r="J2" s="3">
        <f>IF(G2="","",ROUND(G2*20/1000,0))</f>
        <v/>
      </c>
      <c r="K2" s="2">
        <f>IF(F2="","",ROUND(F2*0.10,0))</f>
        <v/>
      </c>
      <c r="L2" s="3" t="n">
        <v>0</v>
      </c>
      <c r="M2" s="2">
        <f>IF(F2="","",ROUND(F2*$B$247,0))</f>
        <v/>
      </c>
      <c r="N2" s="1">
        <f>IF(M2="","",ROUND(M2*$B$248,0))</f>
        <v/>
      </c>
      <c r="O2" s="1">
        <f>IF(N2="","",ROUND(N2*$B$249,0))</f>
        <v/>
      </c>
      <c r="P2" s="3">
        <f>IF(O2="","",ROUND(O2*7.30,0))</f>
        <v/>
      </c>
      <c r="Q2" s="3">
        <f>IF(I2="","",I2+P2)</f>
        <v/>
      </c>
    </row>
    <row r="3">
      <c r="A3" s="1" t="inlineStr">
        <is>
          <t>Tier 1</t>
        </is>
      </c>
      <c r="B3" s="1" t="inlineStr">
        <is>
          <t>US</t>
        </is>
      </c>
      <c r="C3" s="2" t="n"/>
      <c r="D3" s="2" t="n"/>
      <c r="E3" s="1">
        <f>IFERROR(ROUND(C3/D3,0),"")</f>
        <v/>
      </c>
      <c r="F3" s="2">
        <f>IF(D3="","",D3*$B$244)</f>
        <v/>
      </c>
      <c r="G3" s="2">
        <f>IF(F3="","",ROUND(F3*$B$246,0))</f>
        <v/>
      </c>
      <c r="H3" s="3">
        <f>IF(G3="","",ROUND(G3*10/1000,0))</f>
        <v/>
      </c>
      <c r="I3" s="3">
        <f>IF(G3="","",ROUND(G3*15/1000,0))</f>
        <v/>
      </c>
      <c r="J3" s="3">
        <f>IF(G3="","",ROUND(G3*20/1000,0))</f>
        <v/>
      </c>
      <c r="K3" s="2">
        <f>IF(F3="","",ROUND(F3*0.10,0))</f>
        <v/>
      </c>
      <c r="L3" s="3" t="n">
        <v>0</v>
      </c>
      <c r="M3" s="2">
        <f>IF(F3="","",ROUND(F3*$B$247,0))</f>
        <v/>
      </c>
      <c r="N3" s="1">
        <f>IF(M3="","",ROUND(M3*$B$248,0))</f>
        <v/>
      </c>
      <c r="O3" s="1">
        <f>IF(N3="","",ROUND(N3*$B$249,0))</f>
        <v/>
      </c>
      <c r="P3" s="3">
        <f>IF(O3="","",ROUND(O3*7.30,0))</f>
        <v/>
      </c>
      <c r="Q3" s="3">
        <f>IF(I3="","",I3+P3)</f>
        <v/>
      </c>
    </row>
    <row r="4">
      <c r="A4" s="1" t="inlineStr">
        <is>
          <t>Tier 1</t>
        </is>
      </c>
      <c r="B4" s="1" t="inlineStr">
        <is>
          <t>FR</t>
        </is>
      </c>
      <c r="C4" s="2" t="n"/>
      <c r="D4" s="2" t="n"/>
      <c r="E4" s="1">
        <f>IFERROR(ROUND(C4/D4,0),"")</f>
        <v/>
      </c>
      <c r="F4" s="2">
        <f>IF(D4="","",D4*$B$244)</f>
        <v/>
      </c>
      <c r="G4" s="2">
        <f>IF(F4="","",ROUND(F4*$B$246,0))</f>
        <v/>
      </c>
      <c r="H4" s="3">
        <f>IF(G4="","",ROUND(G4*10/1000,0))</f>
        <v/>
      </c>
      <c r="I4" s="3">
        <f>IF(G4="","",ROUND(G4*15/1000,0))</f>
        <v/>
      </c>
      <c r="J4" s="3">
        <f>IF(G4="","",ROUND(G4*20/1000,0))</f>
        <v/>
      </c>
      <c r="K4" s="2">
        <f>IF(F4="","",ROUND(F4*0.10,0))</f>
        <v/>
      </c>
      <c r="L4" s="3" t="n">
        <v>0</v>
      </c>
      <c r="M4" s="2">
        <f>IF(F4="","",ROUND(F4*$B$247,0))</f>
        <v/>
      </c>
      <c r="N4" s="1">
        <f>IF(M4="","",ROUND(M4*$B$248,0))</f>
        <v/>
      </c>
      <c r="O4" s="1">
        <f>IF(N4="","",ROUND(N4*$B$249,0))</f>
        <v/>
      </c>
      <c r="P4" s="3">
        <f>IF(O4="","",ROUND(O4*7.30,0))</f>
        <v/>
      </c>
      <c r="Q4" s="3">
        <f>IF(I4="","",I4+P4)</f>
        <v/>
      </c>
    </row>
    <row r="5">
      <c r="A5" s="1" t="inlineStr">
        <is>
          <t>Tier 1</t>
        </is>
      </c>
      <c r="B5" s="1" t="inlineStr">
        <is>
          <t>GB</t>
        </is>
      </c>
      <c r="C5" s="2" t="n"/>
      <c r="D5" s="2" t="n"/>
      <c r="E5" s="1">
        <f>IFERROR(ROUND(C5/D5,0),"")</f>
        <v/>
      </c>
      <c r="F5" s="2">
        <f>IF(D5="","",D5*$B$244)</f>
        <v/>
      </c>
      <c r="G5" s="2">
        <f>IF(F5="","",ROUND(F5*$B$246,0))</f>
        <v/>
      </c>
      <c r="H5" s="3">
        <f>IF(G5="","",ROUND(G5*10/1000,0))</f>
        <v/>
      </c>
      <c r="I5" s="3">
        <f>IF(G5="","",ROUND(G5*15/1000,0))</f>
        <v/>
      </c>
      <c r="J5" s="3">
        <f>IF(G5="","",ROUND(G5*20/1000,0))</f>
        <v/>
      </c>
      <c r="K5" s="2">
        <f>IF(F5="","",ROUND(F5*0.10,0))</f>
        <v/>
      </c>
      <c r="L5" s="3" t="n">
        <v>0</v>
      </c>
      <c r="M5" s="2">
        <f>IF(F5="","",ROUND(F5*$B$247,0))</f>
        <v/>
      </c>
      <c r="N5" s="1">
        <f>IF(M5="","",ROUND(M5*$B$248,0))</f>
        <v/>
      </c>
      <c r="O5" s="1">
        <f>IF(N5="","",ROUND(N5*$B$249,0))</f>
        <v/>
      </c>
      <c r="P5" s="3">
        <f>IF(O5="","",ROUND(O5*7.30,0))</f>
        <v/>
      </c>
      <c r="Q5" s="3">
        <f>IF(I5="","",I5+P5)</f>
        <v/>
      </c>
    </row>
    <row r="6">
      <c r="A6" s="1" t="inlineStr">
        <is>
          <t>Tier 1</t>
        </is>
      </c>
      <c r="B6" s="1" t="inlineStr">
        <is>
          <t>ES</t>
        </is>
      </c>
      <c r="C6" s="2" t="n"/>
      <c r="D6" s="2" t="n"/>
      <c r="E6" s="1">
        <f>IFERROR(ROUND(C6/D6,0),"")</f>
        <v/>
      </c>
      <c r="F6" s="2">
        <f>IF(D6="","",D6*$B$244)</f>
        <v/>
      </c>
      <c r="G6" s="2">
        <f>IF(F6="","",ROUND(F6*$B$246,0))</f>
        <v/>
      </c>
      <c r="H6" s="3">
        <f>IF(G6="","",ROUND(G6*10/1000,0))</f>
        <v/>
      </c>
      <c r="I6" s="3">
        <f>IF(G6="","",ROUND(G6*15/1000,0))</f>
        <v/>
      </c>
      <c r="J6" s="3">
        <f>IF(G6="","",ROUND(G6*20/1000,0))</f>
        <v/>
      </c>
      <c r="K6" s="2">
        <f>IF(F6="","",ROUND(F6*0.10,0))</f>
        <v/>
      </c>
      <c r="L6" s="3" t="n">
        <v>0</v>
      </c>
      <c r="M6" s="2">
        <f>IF(F6="","",ROUND(F6*$B$247,0))</f>
        <v/>
      </c>
      <c r="N6" s="1">
        <f>IF(M6="","",ROUND(M6*$B$248,0))</f>
        <v/>
      </c>
      <c r="O6" s="1">
        <f>IF(N6="","",ROUND(N6*$B$249,0))</f>
        <v/>
      </c>
      <c r="P6" s="3">
        <f>IF(O6="","",ROUND(O6*7.30,0))</f>
        <v/>
      </c>
      <c r="Q6" s="3">
        <f>IF(I6="","",I6+P6)</f>
        <v/>
      </c>
    </row>
    <row r="7">
      <c r="A7" s="1" t="inlineStr">
        <is>
          <t>Tier 1</t>
        </is>
      </c>
      <c r="B7" s="1" t="inlineStr">
        <is>
          <t>CA</t>
        </is>
      </c>
      <c r="C7" s="2" t="n"/>
      <c r="D7" s="2" t="n"/>
      <c r="E7" s="1">
        <f>IFERROR(ROUND(C7/D7,0),"")</f>
        <v/>
      </c>
      <c r="F7" s="2">
        <f>IF(D7="","",D7*$B$244)</f>
        <v/>
      </c>
      <c r="G7" s="2">
        <f>IF(F7="","",ROUND(F7*$B$246,0))</f>
        <v/>
      </c>
      <c r="H7" s="3">
        <f>IF(G7="","",ROUND(G7*10/1000,0))</f>
        <v/>
      </c>
      <c r="I7" s="3">
        <f>IF(G7="","",ROUND(G7*15/1000,0))</f>
        <v/>
      </c>
      <c r="J7" s="3">
        <f>IF(G7="","",ROUND(G7*20/1000,0))</f>
        <v/>
      </c>
      <c r="K7" s="2">
        <f>IF(F7="","",ROUND(F7*0.10,0))</f>
        <v/>
      </c>
      <c r="L7" s="3" t="n">
        <v>0</v>
      </c>
      <c r="M7" s="2">
        <f>IF(F7="","",ROUND(F7*$B$247,0))</f>
        <v/>
      </c>
      <c r="N7" s="1">
        <f>IF(M7="","",ROUND(M7*$B$248,0))</f>
        <v/>
      </c>
      <c r="O7" s="1">
        <f>IF(N7="","",ROUND(N7*$B$249,0))</f>
        <v/>
      </c>
      <c r="P7" s="3">
        <f>IF(O7="","",ROUND(O7*7.30,0))</f>
        <v/>
      </c>
      <c r="Q7" s="3">
        <f>IF(I7="","",I7+P7)</f>
        <v/>
      </c>
    </row>
    <row r="8">
      <c r="A8" s="1" t="inlineStr">
        <is>
          <t>Tier 1</t>
        </is>
      </c>
      <c r="B8" s="1" t="inlineStr">
        <is>
          <t>AU</t>
        </is>
      </c>
      <c r="C8" s="2" t="n"/>
      <c r="D8" s="2" t="n"/>
      <c r="E8" s="1">
        <f>IFERROR(ROUND(C8/D8,0),"")</f>
        <v/>
      </c>
      <c r="F8" s="2">
        <f>IF(D8="","",D8*$B$244)</f>
        <v/>
      </c>
      <c r="G8" s="2">
        <f>IF(F8="","",ROUND(F8*$B$246,0))</f>
        <v/>
      </c>
      <c r="H8" s="3">
        <f>IF(G8="","",ROUND(G8*10/1000,0))</f>
        <v/>
      </c>
      <c r="I8" s="3">
        <f>IF(G8="","",ROUND(G8*15/1000,0))</f>
        <v/>
      </c>
      <c r="J8" s="3">
        <f>IF(G8="","",ROUND(G8*20/1000,0))</f>
        <v/>
      </c>
      <c r="K8" s="2">
        <f>IF(F8="","",ROUND(F8*0.10,0))</f>
        <v/>
      </c>
      <c r="L8" s="3" t="n">
        <v>0</v>
      </c>
      <c r="M8" s="2">
        <f>IF(F8="","",ROUND(F8*$B$247,0))</f>
        <v/>
      </c>
      <c r="N8" s="1">
        <f>IF(M8="","",ROUND(M8*$B$248,0))</f>
        <v/>
      </c>
      <c r="O8" s="1">
        <f>IF(N8="","",ROUND(N8*$B$249,0))</f>
        <v/>
      </c>
      <c r="P8" s="3">
        <f>IF(O8="","",ROUND(O8*7.30,0))</f>
        <v/>
      </c>
      <c r="Q8" s="3">
        <f>IF(I8="","",I8+P8)</f>
        <v/>
      </c>
    </row>
    <row r="9">
      <c r="A9" s="1" t="inlineStr">
        <is>
          <t>Tier 1</t>
        </is>
      </c>
      <c r="B9" s="1" t="inlineStr">
        <is>
          <t>IT</t>
        </is>
      </c>
      <c r="C9" s="2" t="n"/>
      <c r="D9" s="2" t="n"/>
      <c r="E9" s="1">
        <f>IFERROR(ROUND(C9/D9,0),"")</f>
        <v/>
      </c>
      <c r="F9" s="2">
        <f>IF(D9="","",D9*$B$244)</f>
        <v/>
      </c>
      <c r="G9" s="2">
        <f>IF(F9="","",ROUND(F9*$B$246,0))</f>
        <v/>
      </c>
      <c r="H9" s="3">
        <f>IF(G9="","",ROUND(G9*10/1000,0))</f>
        <v/>
      </c>
      <c r="I9" s="3">
        <f>IF(G9="","",ROUND(G9*15/1000,0))</f>
        <v/>
      </c>
      <c r="J9" s="3">
        <f>IF(G9="","",ROUND(G9*20/1000,0))</f>
        <v/>
      </c>
      <c r="K9" s="2">
        <f>IF(F9="","",ROUND(F9*0.10,0))</f>
        <v/>
      </c>
      <c r="L9" s="3" t="n">
        <v>0</v>
      </c>
      <c r="M9" s="2">
        <f>IF(F9="","",ROUND(F9*$B$247,0))</f>
        <v/>
      </c>
      <c r="N9" s="1">
        <f>IF(M9="","",ROUND(M9*$B$248,0))</f>
        <v/>
      </c>
      <c r="O9" s="1">
        <f>IF(N9="","",ROUND(N9*$B$249,0))</f>
        <v/>
      </c>
      <c r="P9" s="3">
        <f>IF(O9="","",ROUND(O9*7.30,0))</f>
        <v/>
      </c>
      <c r="Q9" s="3">
        <f>IF(I9="","",I9+P9)</f>
        <v/>
      </c>
    </row>
    <row r="10">
      <c r="A10" s="1" t="inlineStr">
        <is>
          <t>Tier 2</t>
        </is>
      </c>
      <c r="B10" s="1" t="inlineStr">
        <is>
          <t>PL</t>
        </is>
      </c>
      <c r="C10" s="2" t="n"/>
      <c r="D10" s="2" t="n"/>
      <c r="E10" s="1">
        <f>IFERROR(ROUND(C10/D10,0),"")</f>
        <v/>
      </c>
      <c r="F10" s="2">
        <f>IF(D10="","",D10*$B$244)</f>
        <v/>
      </c>
      <c r="G10" s="2">
        <f>IF(F10="","",ROUND(F10*$B$246,0))</f>
        <v/>
      </c>
      <c r="H10" s="3">
        <f>IF(G10="","",ROUND(G10*10/1000,0))</f>
        <v/>
      </c>
      <c r="I10" s="3">
        <f>IF(G10="","",ROUND(G10*15/1000,0))</f>
        <v/>
      </c>
      <c r="J10" s="3">
        <f>IF(G10="","",ROUND(G10*20/1000,0))</f>
        <v/>
      </c>
      <c r="K10" s="2">
        <f>IF(F10="","",ROUND(F10*0.10,0))</f>
        <v/>
      </c>
      <c r="L10" s="3" t="n">
        <v>0</v>
      </c>
      <c r="M10" s="2">
        <f>IF(F10="","",ROUND(F10*$B$247,0))</f>
        <v/>
      </c>
      <c r="N10" s="2">
        <f>IF(M10="","",ROUND(M10*$B$248,0))</f>
        <v/>
      </c>
      <c r="O10" s="1">
        <f>IF(N10="","",ROUND(N10*$B$249,0))</f>
        <v/>
      </c>
      <c r="P10" s="3">
        <f>IF(O10="","",ROUND(O10*7.30,0))</f>
        <v/>
      </c>
      <c r="Q10" s="3">
        <f>IF(I10="","",I10+P10)</f>
        <v/>
      </c>
    </row>
    <row r="11">
      <c r="A11" s="1" t="inlineStr">
        <is>
          <t>Tier 2</t>
        </is>
      </c>
      <c r="B11" s="1" t="inlineStr">
        <is>
          <t>FI</t>
        </is>
      </c>
      <c r="C11" s="2" t="n"/>
      <c r="D11" s="2" t="n"/>
      <c r="E11" s="1">
        <f>IFERROR(ROUND(C11/D11,0),"")</f>
        <v/>
      </c>
      <c r="F11" s="2">
        <f>IF(D11="","",D11*$B$244)</f>
        <v/>
      </c>
      <c r="G11" s="2">
        <f>IF(F11="","",ROUND(F11*$B$246,0))</f>
        <v/>
      </c>
      <c r="H11" s="3">
        <f>IF(G11="","",ROUND(G11*10/1000,0))</f>
        <v/>
      </c>
      <c r="I11" s="3">
        <f>IF(G11="","",ROUND(G11*15/1000,0))</f>
        <v/>
      </c>
      <c r="J11" s="3">
        <f>IF(G11="","",ROUND(G11*20/1000,0))</f>
        <v/>
      </c>
      <c r="K11" s="2">
        <f>IF(F11="","",ROUND(F11*0.10,0))</f>
        <v/>
      </c>
      <c r="L11" s="3" t="n">
        <v>0</v>
      </c>
      <c r="M11" s="2">
        <f>IF(F11="","",ROUND(F11*$B$247,0))</f>
        <v/>
      </c>
      <c r="N11" s="1">
        <f>IF(M11="","",ROUND(M11*$B$248,0))</f>
        <v/>
      </c>
      <c r="O11" s="1">
        <f>IF(N11="","",ROUND(N11*$B$249,0))</f>
        <v/>
      </c>
      <c r="P11" s="3">
        <f>IF(O11="","",ROUND(O11*7.30,0))</f>
        <v/>
      </c>
      <c r="Q11" s="3">
        <f>IF(I11="","",I11+P11)</f>
        <v/>
      </c>
    </row>
    <row r="12">
      <c r="A12" s="1" t="inlineStr">
        <is>
          <t>Tier 2</t>
        </is>
      </c>
      <c r="B12" s="1" t="inlineStr">
        <is>
          <t>PT</t>
        </is>
      </c>
      <c r="C12" s="2" t="n"/>
      <c r="D12" s="2" t="n"/>
      <c r="E12" s="1">
        <f>IFERROR(ROUND(C12/D12,0),"")</f>
        <v/>
      </c>
      <c r="F12" s="2">
        <f>IF(D12="","",D12*$B$244)</f>
        <v/>
      </c>
      <c r="G12" s="2">
        <f>IF(F12="","",ROUND(F12*$B$246,0))</f>
        <v/>
      </c>
      <c r="H12" s="3">
        <f>IF(G12="","",ROUND(G12*10/1000,0))</f>
        <v/>
      </c>
      <c r="I12" s="3">
        <f>IF(G12="","",ROUND(G12*15/1000,0))</f>
        <v/>
      </c>
      <c r="J12" s="3">
        <f>IF(G12="","",ROUND(G12*20/1000,0))</f>
        <v/>
      </c>
      <c r="K12" s="2">
        <f>IF(F12="","",ROUND(F12*0.10,0))</f>
        <v/>
      </c>
      <c r="L12" s="3" t="n">
        <v>0</v>
      </c>
      <c r="M12" s="2">
        <f>IF(F12="","",ROUND(F12*$B$247,0))</f>
        <v/>
      </c>
      <c r="N12" s="1">
        <f>IF(M12="","",ROUND(M12*$B$248,0))</f>
        <v/>
      </c>
      <c r="O12" s="1">
        <f>IF(N12="","",ROUND(N12*$B$249,0))</f>
        <v/>
      </c>
      <c r="P12" s="3">
        <f>IF(O12="","",ROUND(O12*7.30,0))</f>
        <v/>
      </c>
      <c r="Q12" s="3">
        <f>IF(I12="","",I12+P12)</f>
        <v/>
      </c>
    </row>
    <row r="13">
      <c r="A13" s="1" t="inlineStr">
        <is>
          <t>Tier 2</t>
        </is>
      </c>
      <c r="B13" s="1" t="inlineStr">
        <is>
          <t>DK</t>
        </is>
      </c>
      <c r="C13" s="2" t="n"/>
      <c r="D13" s="2" t="n"/>
      <c r="E13" s="1">
        <f>IFERROR(ROUND(C13/D13,0),"")</f>
        <v/>
      </c>
      <c r="F13" s="2">
        <f>IF(D13="","",D13*$B$244)</f>
        <v/>
      </c>
      <c r="G13" s="2">
        <f>IF(F13="","",ROUND(F13*$B$246,0))</f>
        <v/>
      </c>
      <c r="H13" s="3">
        <f>IF(G13="","",ROUND(G13*10/1000,0))</f>
        <v/>
      </c>
      <c r="I13" s="3">
        <f>IF(G13="","",ROUND(G13*15/1000,0))</f>
        <v/>
      </c>
      <c r="J13" s="3">
        <f>IF(G13="","",ROUND(G13*20/1000,0))</f>
        <v/>
      </c>
      <c r="K13" s="2">
        <f>IF(F13="","",ROUND(F13*0.10,0))</f>
        <v/>
      </c>
      <c r="L13" s="3" t="n">
        <v>0</v>
      </c>
      <c r="M13" s="2">
        <f>IF(F13="","",ROUND(F13*$B$247,0))</f>
        <v/>
      </c>
      <c r="N13" s="1">
        <f>IF(M13="","",ROUND(M13*$B$248,0))</f>
        <v/>
      </c>
      <c r="O13" s="1">
        <f>IF(N13="","",ROUND(N13*$B$249,0))</f>
        <v/>
      </c>
      <c r="P13" s="3">
        <f>IF(O13="","",ROUND(O13*7.30,0))</f>
        <v/>
      </c>
      <c r="Q13" s="3">
        <f>IF(I13="","",I13+P13)</f>
        <v/>
      </c>
    </row>
    <row r="14">
      <c r="A14" s="1" t="inlineStr">
        <is>
          <t>Tier 2</t>
        </is>
      </c>
      <c r="B14" s="1" t="inlineStr">
        <is>
          <t>NL</t>
        </is>
      </c>
      <c r="C14" s="2" t="n"/>
      <c r="D14" s="2" t="n"/>
      <c r="E14" s="1">
        <f>IFERROR(ROUND(C14/D14,0),"")</f>
        <v/>
      </c>
      <c r="F14" s="2">
        <f>IF(D14="","",D14*$B$244)</f>
        <v/>
      </c>
      <c r="G14" s="2">
        <f>IF(F14="","",ROUND(F14*$B$246,0))</f>
        <v/>
      </c>
      <c r="H14" s="3">
        <f>IF(G14="","",ROUND(G14*10/1000,0))</f>
        <v/>
      </c>
      <c r="I14" s="3">
        <f>IF(G14="","",ROUND(G14*15/1000,0))</f>
        <v/>
      </c>
      <c r="J14" s="3">
        <f>IF(G14="","",ROUND(G14*20/1000,0))</f>
        <v/>
      </c>
      <c r="K14" s="2">
        <f>IF(F14="","",ROUND(F14*0.10,0))</f>
        <v/>
      </c>
      <c r="L14" s="3" t="n">
        <v>0</v>
      </c>
      <c r="M14" s="2">
        <f>IF(F14="","",ROUND(F14*$B$247,0))</f>
        <v/>
      </c>
      <c r="N14" s="1">
        <f>IF(M14="","",ROUND(M14*$B$248,0))</f>
        <v/>
      </c>
      <c r="O14" s="1">
        <f>IF(N14="","",ROUND(N14*$B$249,0))</f>
        <v/>
      </c>
      <c r="P14" s="3">
        <f>IF(O14="","",ROUND(O14*7.30,0))</f>
        <v/>
      </c>
      <c r="Q14" s="3">
        <f>IF(I14="","",I14+P14)</f>
        <v/>
      </c>
    </row>
    <row r="15">
      <c r="A15" s="1" t="inlineStr">
        <is>
          <t>Tier 3</t>
        </is>
      </c>
      <c r="B15" s="1" t="inlineStr">
        <is>
          <t>KZ</t>
        </is>
      </c>
      <c r="C15" s="2" t="n"/>
      <c r="D15" s="2" t="n"/>
      <c r="E15" s="1">
        <f>IFERROR(ROUND(C15/D15,0),"")</f>
        <v/>
      </c>
      <c r="F15" s="2">
        <f>IF(D15="","",D15*$B$244)</f>
        <v/>
      </c>
      <c r="G15" s="2">
        <f>IF(F15="","",ROUND(F15*$B$246,0))</f>
        <v/>
      </c>
      <c r="H15" s="3">
        <f>IF(G15="","",ROUND(G15*10/1000,0))</f>
        <v/>
      </c>
      <c r="I15" s="3">
        <f>IF(G15="","",ROUND(G15*15/1000,0))</f>
        <v/>
      </c>
      <c r="J15" s="3">
        <f>IF(G15="","",ROUND(G15*20/1000,0))</f>
        <v/>
      </c>
      <c r="K15" s="2">
        <f>IF(F15="","",ROUND(F15*0.10,0))</f>
        <v/>
      </c>
      <c r="L15" s="3">
        <f>IF(K15="","",ROUND(K15*5/1000,0))</f>
        <v/>
      </c>
      <c r="M15" s="2">
        <f>IF(F15="","",ROUND(F15*$B$247,0))</f>
        <v/>
      </c>
      <c r="N15" s="2">
        <f>IF(M15="","",ROUND(M15*$B$248,0))</f>
        <v/>
      </c>
      <c r="O15" s="1">
        <f>IF(N15="","",ROUND(N15*$B$249,0))</f>
        <v/>
      </c>
      <c r="P15" s="3">
        <f>IF(O15="","",ROUND(O15*7.30,0))</f>
        <v/>
      </c>
      <c r="Q15" s="3">
        <f>IF(L15="","",L15+P15)</f>
        <v/>
      </c>
    </row>
    <row r="16">
      <c r="A16" s="1" t="inlineStr">
        <is>
          <t>Tier 3</t>
        </is>
      </c>
      <c r="B16" s="1" t="inlineStr">
        <is>
          <t>UA</t>
        </is>
      </c>
      <c r="C16" s="2" t="n"/>
      <c r="D16" s="2" t="n"/>
      <c r="E16" s="1">
        <f>IFERROR(ROUND(C16/D16,0),"")</f>
        <v/>
      </c>
      <c r="F16" s="2">
        <f>IF(D16="","",D16*$B$244)</f>
        <v/>
      </c>
      <c r="G16" s="2">
        <f>IF(F16="","",ROUND(F16*$B$246,0))</f>
        <v/>
      </c>
      <c r="H16" s="3">
        <f>IF(G16="","",ROUND(G16*10/1000,0))</f>
        <v/>
      </c>
      <c r="I16" s="3">
        <f>IF(G16="","",ROUND(G16*15/1000,0))</f>
        <v/>
      </c>
      <c r="J16" s="3">
        <f>IF(G16="","",ROUND(G16*20/1000,0))</f>
        <v/>
      </c>
      <c r="K16" s="2">
        <f>IF(F16="","",ROUND(F16*0.10,0))</f>
        <v/>
      </c>
      <c r="L16" s="3">
        <f>IF(K16="","",ROUND(K16*5/1000,0))</f>
        <v/>
      </c>
      <c r="M16" s="2">
        <f>IF(F16="","",ROUND(F16*$B$247,0))</f>
        <v/>
      </c>
      <c r="N16" s="1">
        <f>IF(M16="","",ROUND(M16*$B$248,0))</f>
        <v/>
      </c>
      <c r="O16" s="1">
        <f>IF(N16="","",ROUND(N16*$B$249,0))</f>
        <v/>
      </c>
      <c r="P16" s="3">
        <f>IF(O16="","",ROUND(O16*7.30,0))</f>
        <v/>
      </c>
      <c r="Q16" s="3">
        <f>IF(L16="","",L16+P16)</f>
        <v/>
      </c>
    </row>
    <row r="17">
      <c r="A17" s="1" t="inlineStr">
        <is>
          <t>Tier 3</t>
        </is>
      </c>
      <c r="B17" s="1" t="inlineStr">
        <is>
          <t>TR</t>
        </is>
      </c>
      <c r="C17" s="2" t="n"/>
      <c r="D17" s="2" t="n"/>
      <c r="E17" s="1">
        <f>IFERROR(ROUND(C17/D17,0),"")</f>
        <v/>
      </c>
      <c r="F17" s="2">
        <f>IF(D17="","",D17*$B$244)</f>
        <v/>
      </c>
      <c r="G17" s="2">
        <f>IF(F17="","",ROUND(F17*$B$246,0))</f>
        <v/>
      </c>
      <c r="H17" s="3">
        <f>IF(G17="","",ROUND(G17*10/1000,0))</f>
        <v/>
      </c>
      <c r="I17" s="3">
        <f>IF(G17="","",ROUND(G17*15/1000,0))</f>
        <v/>
      </c>
      <c r="J17" s="3">
        <f>IF(G17="","",ROUND(G17*20/1000,0))</f>
        <v/>
      </c>
      <c r="K17" s="2">
        <f>IF(F17="","",ROUND(F17*0.10,0))</f>
        <v/>
      </c>
      <c r="L17" s="3">
        <f>IF(K17="","",ROUND(K17*5/1000,0))</f>
        <v/>
      </c>
      <c r="M17" s="2">
        <f>IF(F17="","",ROUND(F17*$B$247,0))</f>
        <v/>
      </c>
      <c r="N17" s="1">
        <f>IF(M17="","",ROUND(M17*$B$248,0))</f>
        <v/>
      </c>
      <c r="O17" s="1">
        <f>IF(N17="","",ROUND(N17*$B$249,0))</f>
        <v/>
      </c>
      <c r="P17" s="3">
        <f>IF(O17="","",ROUND(O17*7.30,0))</f>
        <v/>
      </c>
      <c r="Q17" s="3">
        <f>IF(L17="","",L17+P17)</f>
        <v/>
      </c>
    </row>
    <row r="18">
      <c r="A18" s="1" t="inlineStr">
        <is>
          <t>Tier 3</t>
        </is>
      </c>
      <c r="B18" s="1" t="inlineStr">
        <is>
          <t>RO</t>
        </is>
      </c>
      <c r="C18" s="2" t="n"/>
      <c r="D18" s="2" t="n"/>
      <c r="E18" s="1">
        <f>IFERROR(ROUND(C18/D18,0),"")</f>
        <v/>
      </c>
      <c r="F18" s="2">
        <f>IF(D18="","",D18*$B$244)</f>
        <v/>
      </c>
      <c r="G18" s="2">
        <f>IF(F18="","",ROUND(F18*$B$246,0))</f>
        <v/>
      </c>
      <c r="H18" s="3">
        <f>IF(G18="","",ROUND(G18*10/1000,0))</f>
        <v/>
      </c>
      <c r="I18" s="3">
        <f>IF(G18="","",ROUND(G18*15/1000,0))</f>
        <v/>
      </c>
      <c r="J18" s="3">
        <f>IF(G18="","",ROUND(G18*20/1000,0))</f>
        <v/>
      </c>
      <c r="K18" s="2">
        <f>IF(F18="","",ROUND(F18*0.10,0))</f>
        <v/>
      </c>
      <c r="L18" s="3">
        <f>IF(K18="","",ROUND(K18*5/1000,0))</f>
        <v/>
      </c>
      <c r="M18" s="2">
        <f>IF(F18="","",ROUND(F18*$B$247,0))</f>
        <v/>
      </c>
      <c r="N18" s="1">
        <f>IF(M18="","",ROUND(M18*$B$248,0))</f>
        <v/>
      </c>
      <c r="O18" s="1">
        <f>IF(N18="","",ROUND(N18*$B$249,0))</f>
        <v/>
      </c>
      <c r="P18" s="3">
        <f>IF(O18="","",ROUND(O18*7.30,0))</f>
        <v/>
      </c>
      <c r="Q18" s="3">
        <f>IF(L18="","",L18+P18)</f>
        <v/>
      </c>
    </row>
    <row r="19">
      <c r="A19" s="1" t="inlineStr">
        <is>
          <t>Tier 3</t>
        </is>
      </c>
      <c r="B19" s="1" t="inlineStr">
        <is>
          <t>BY</t>
        </is>
      </c>
      <c r="C19" s="2" t="n"/>
      <c r="D19" s="2" t="n"/>
      <c r="E19" s="1">
        <f>IFERROR(ROUND(C19/D19,0),"")</f>
        <v/>
      </c>
      <c r="F19" s="2">
        <f>IF(D19="","",D19*$B$244)</f>
        <v/>
      </c>
      <c r="G19" s="2">
        <f>IF(F19="","",ROUND(F19*$B$246,0))</f>
        <v/>
      </c>
      <c r="H19" s="3">
        <f>IF(G19="","",ROUND(G19*10/1000,0))</f>
        <v/>
      </c>
      <c r="I19" s="3">
        <f>IF(G19="","",ROUND(G19*15/1000,0))</f>
        <v/>
      </c>
      <c r="J19" s="3">
        <f>IF(G19="","",ROUND(G19*20/1000,0))</f>
        <v/>
      </c>
      <c r="K19" s="2">
        <f>IF(F19="","",ROUND(F19*0.10,0))</f>
        <v/>
      </c>
      <c r="L19" s="3">
        <f>IF(K19="","",ROUND(K19*5/1000,0))</f>
        <v/>
      </c>
      <c r="M19" s="2">
        <f>IF(F19="","",ROUND(F19*$B$247,0))</f>
        <v/>
      </c>
      <c r="N19" s="1">
        <f>IF(M19="","",ROUND(M19*$B$248,0))</f>
        <v/>
      </c>
      <c r="O19" s="1">
        <f>IF(N19="","",ROUND(N19*$B$249,0))</f>
        <v/>
      </c>
      <c r="P19" s="3">
        <f>IF(O19="","",ROUND(O19*7.30,0))</f>
        <v/>
      </c>
      <c r="Q19" s="3">
        <f>IF(L19="","",L19+P19)</f>
        <v/>
      </c>
    </row>
    <row r="20">
      <c r="A20" s="1" t="inlineStr">
        <is>
          <t>Tier 3</t>
        </is>
      </c>
      <c r="B20" s="1" t="inlineStr">
        <is>
          <t>XK</t>
        </is>
      </c>
      <c r="C20" s="2" t="n"/>
      <c r="D20" s="2" t="n"/>
      <c r="E20" s="1">
        <f>IFERROR(ROUND(C20/D20,0),"")</f>
        <v/>
      </c>
      <c r="F20" s="2">
        <f>IF(D20="","",D20*$B$244)</f>
        <v/>
      </c>
      <c r="G20" s="2">
        <f>IF(F20="","",ROUND(F20*$B$246,0))</f>
        <v/>
      </c>
      <c r="H20" s="3">
        <f>IF(G20="","",ROUND(G20*10/1000,0))</f>
        <v/>
      </c>
      <c r="I20" s="3">
        <f>IF(G20="","",ROUND(G20*15/1000,0))</f>
        <v/>
      </c>
      <c r="J20" s="3">
        <f>IF(G20="","",ROUND(G20*20/1000,0))</f>
        <v/>
      </c>
      <c r="K20" s="2">
        <f>IF(F20="","",ROUND(F20*0.10,0))</f>
        <v/>
      </c>
      <c r="L20" s="3">
        <f>IF(K20="","",ROUND(K20*5/1000,0))</f>
        <v/>
      </c>
      <c r="M20" s="2">
        <f>IF(F20="","",ROUND(F20*$B$247,0))</f>
        <v/>
      </c>
      <c r="N20" s="1">
        <f>IF(M20="","",ROUND(M20*$B$248,0))</f>
        <v/>
      </c>
      <c r="O20" s="1">
        <f>IF(N20="","",ROUND(N20*$B$249,0))</f>
        <v/>
      </c>
      <c r="P20" s="3">
        <f>IF(O20="","",ROUND(O20*7.30,0))</f>
        <v/>
      </c>
      <c r="Q20" s="3">
        <f>IF(L20="","",L20+P20)</f>
        <v/>
      </c>
    </row>
    <row r="21">
      <c r="A21" s="1" t="inlineStr">
        <is>
          <t>Tier 3</t>
        </is>
      </c>
      <c r="B21" s="1" t="inlineStr">
        <is>
          <t>UZ</t>
        </is>
      </c>
      <c r="C21" s="2" t="n"/>
      <c r="D21" s="2" t="n"/>
      <c r="E21" s="1">
        <f>IFERROR(ROUND(C21/D21,0),"")</f>
        <v/>
      </c>
      <c r="F21" s="2">
        <f>IF(D21="","",D21*$B$244)</f>
        <v/>
      </c>
      <c r="G21" s="2">
        <f>IF(F21="","",ROUND(F21*$B$246,0))</f>
        <v/>
      </c>
      <c r="H21" s="3">
        <f>IF(G21="","",ROUND(G21*10/1000,0))</f>
        <v/>
      </c>
      <c r="I21" s="3">
        <f>IF(G21="","",ROUND(G21*15/1000,0))</f>
        <v/>
      </c>
      <c r="J21" s="3">
        <f>IF(G21="","",ROUND(G21*20/1000,0))</f>
        <v/>
      </c>
      <c r="K21" s="2">
        <f>IF(F21="","",ROUND(F21*0.10,0))</f>
        <v/>
      </c>
      <c r="L21" s="3">
        <f>IF(K21="","",ROUND(K21*5/1000,0))</f>
        <v/>
      </c>
      <c r="M21" s="2">
        <f>IF(F21="","",ROUND(F21*$B$247,0))</f>
        <v/>
      </c>
      <c r="N21" s="1">
        <f>IF(M21="","",ROUND(M21*$B$248,0))</f>
        <v/>
      </c>
      <c r="O21" s="1">
        <f>IF(N21="","",ROUND(N21*$B$249,0))</f>
        <v/>
      </c>
      <c r="P21" s="3">
        <f>IF(O21="","",ROUND(O21*7.30,0))</f>
        <v/>
      </c>
      <c r="Q21" s="3">
        <f>IF(L21="","",L21+P21)</f>
        <v/>
      </c>
    </row>
    <row r="22">
      <c r="A22" s="1" t="inlineStr">
        <is>
          <t>Tier 3</t>
        </is>
      </c>
      <c r="B22" s="1" t="inlineStr">
        <is>
          <t>BR</t>
        </is>
      </c>
      <c r="C22" s="2" t="n"/>
      <c r="D22" s="2" t="n"/>
      <c r="E22" s="1">
        <f>IFERROR(ROUND(C22/D22,0),"")</f>
        <v/>
      </c>
      <c r="F22" s="2">
        <f>IF(D22="","",D22*$B$244)</f>
        <v/>
      </c>
      <c r="G22" s="2">
        <f>IF(F22="","",ROUND(F22*$B$246,0))</f>
        <v/>
      </c>
      <c r="H22" s="3">
        <f>IF(G22="","",ROUND(G22*10/1000,0))</f>
        <v/>
      </c>
      <c r="I22" s="3">
        <f>IF(G22="","",ROUND(G22*15/1000,0))</f>
        <v/>
      </c>
      <c r="J22" s="3">
        <f>IF(G22="","",ROUND(G22*20/1000,0))</f>
        <v/>
      </c>
      <c r="K22" s="2">
        <f>IF(F22="","",ROUND(F22*0.10,0))</f>
        <v/>
      </c>
      <c r="L22" s="3">
        <f>IF(K22="","",ROUND(K22*5/1000,0))</f>
        <v/>
      </c>
      <c r="M22" s="2">
        <f>IF(F22="","",ROUND(F22*$B$247,0))</f>
        <v/>
      </c>
      <c r="N22" s="1">
        <f>IF(M22="","",ROUND(M22*$B$248,0))</f>
        <v/>
      </c>
      <c r="O22" s="1">
        <f>IF(N22="","",ROUND(N22*$B$249,0))</f>
        <v/>
      </c>
      <c r="P22" s="3">
        <f>IF(O22="","",ROUND(O22*7.30,0))</f>
        <v/>
      </c>
      <c r="Q22" s="3">
        <f>IF(L22="","",L22+P22)</f>
        <v/>
      </c>
    </row>
    <row r="23">
      <c r="A23" s="1" t="inlineStr">
        <is>
          <t>Tier 3</t>
        </is>
      </c>
      <c r="B23" s="1" t="inlineStr">
        <is>
          <t>SE</t>
        </is>
      </c>
      <c r="C23" s="2" t="n"/>
      <c r="D23" s="2" t="n"/>
      <c r="E23" s="1">
        <f>IFERROR(ROUND(C23/D23,0),"")</f>
        <v/>
      </c>
      <c r="F23" s="2">
        <f>IF(D23="","",D23*$B$244)</f>
        <v/>
      </c>
      <c r="G23" s="2">
        <f>IF(F23="","",ROUND(F23*$B$246,0))</f>
        <v/>
      </c>
      <c r="H23" s="3">
        <f>IF(G23="","",ROUND(G23*10/1000,0))</f>
        <v/>
      </c>
      <c r="I23" s="3">
        <f>IF(G23="","",ROUND(G23*15/1000,0))</f>
        <v/>
      </c>
      <c r="J23" s="3">
        <f>IF(G23="","",ROUND(G23*20/1000,0))</f>
        <v/>
      </c>
      <c r="K23" s="2">
        <f>IF(F23="","",ROUND(F23*0.10,0))</f>
        <v/>
      </c>
      <c r="L23" s="3">
        <f>IF(K23="","",ROUND(K23*5/1000,0))</f>
        <v/>
      </c>
      <c r="M23" s="2">
        <f>IF(F23="","",ROUND(F23*$B$247,0))</f>
        <v/>
      </c>
      <c r="N23" s="1">
        <f>IF(M23="","",ROUND(M23*$B$248,0))</f>
        <v/>
      </c>
      <c r="O23" s="1">
        <f>IF(N23="","",ROUND(N23*$B$249,0))</f>
        <v/>
      </c>
      <c r="P23" s="3">
        <f>IF(O23="","",ROUND(O23*7.30,0))</f>
        <v/>
      </c>
      <c r="Q23" s="3">
        <f>IF(L23="","",L23+P23)</f>
        <v/>
      </c>
    </row>
    <row r="24">
      <c r="A24" s="1" t="inlineStr">
        <is>
          <t>Tier 3</t>
        </is>
      </c>
      <c r="B24" s="1" t="inlineStr">
        <is>
          <t>MN</t>
        </is>
      </c>
      <c r="C24" s="2" t="n"/>
      <c r="D24" s="2" t="n"/>
      <c r="E24" s="1">
        <f>IFERROR(ROUND(C24/D24,0),"")</f>
        <v/>
      </c>
      <c r="F24" s="2">
        <f>IF(D24="","",D24*$B$244)</f>
        <v/>
      </c>
      <c r="G24" s="2">
        <f>IF(F24="","",ROUND(F24*$B$246,0))</f>
        <v/>
      </c>
      <c r="H24" s="3">
        <f>IF(G24="","",ROUND(G24*10/1000,0))</f>
        <v/>
      </c>
      <c r="I24" s="3">
        <f>IF(G24="","",ROUND(G24*15/1000,0))</f>
        <v/>
      </c>
      <c r="J24" s="3">
        <f>IF(G24="","",ROUND(G24*20/1000,0))</f>
        <v/>
      </c>
      <c r="K24" s="2">
        <f>IF(F24="","",ROUND(F24*0.10,0))</f>
        <v/>
      </c>
      <c r="L24" s="3">
        <f>IF(K24="","",ROUND(K24*5/1000,0))</f>
        <v/>
      </c>
      <c r="M24" s="2">
        <f>IF(F24="","",ROUND(F24*$B$247,0))</f>
        <v/>
      </c>
      <c r="N24" s="1">
        <f>IF(M24="","",ROUND(M24*$B$248,0))</f>
        <v/>
      </c>
      <c r="O24" s="1">
        <f>IF(N24="","",ROUND(N24*$B$249,0))</f>
        <v/>
      </c>
      <c r="P24" s="3">
        <f>IF(O24="","",ROUND(O24*7.30,0))</f>
        <v/>
      </c>
      <c r="Q24" s="3">
        <f>IF(L24="","",L24+P24)</f>
        <v/>
      </c>
    </row>
    <row r="25">
      <c r="A25" s="1" t="inlineStr">
        <is>
          <t>Tier 3</t>
        </is>
      </c>
      <c r="B25" s="1" t="inlineStr">
        <is>
          <t>AR</t>
        </is>
      </c>
      <c r="C25" s="2" t="n"/>
      <c r="D25" s="2" t="n"/>
      <c r="E25" s="1">
        <f>IFERROR(ROUND(C25/D25,0),"")</f>
        <v/>
      </c>
      <c r="F25" s="2">
        <f>IF(D25="","",D25*$B$244)</f>
        <v/>
      </c>
      <c r="G25" s="2">
        <f>IF(F25="","",ROUND(F25*$B$246,0))</f>
        <v/>
      </c>
      <c r="H25" s="3">
        <f>IF(G25="","",ROUND(G25*10/1000,0))</f>
        <v/>
      </c>
      <c r="I25" s="3">
        <f>IF(G25="","",ROUND(G25*15/1000,0))</f>
        <v/>
      </c>
      <c r="J25" s="3">
        <f>IF(G25="","",ROUND(G25*20/1000,0))</f>
        <v/>
      </c>
      <c r="K25" s="2">
        <f>IF(F25="","",ROUND(F25*0.10,0))</f>
        <v/>
      </c>
      <c r="L25" s="3">
        <f>IF(K25="","",ROUND(K25*5/1000,0))</f>
        <v/>
      </c>
      <c r="M25" s="2">
        <f>IF(F25="","",ROUND(F25*$B$247,0))</f>
        <v/>
      </c>
      <c r="N25" s="1">
        <f>IF(M25="","",ROUND(M25*$B$248,0))</f>
        <v/>
      </c>
      <c r="O25" s="1">
        <f>IF(N25="","",ROUND(N25*$B$249,0))</f>
        <v/>
      </c>
      <c r="P25" s="3">
        <f>IF(O25="","",ROUND(O25*7.30,0))</f>
        <v/>
      </c>
      <c r="Q25" s="3">
        <f>IF(L25="","",L25+P25)</f>
        <v/>
      </c>
    </row>
    <row r="26">
      <c r="A26" s="1" t="inlineStr">
        <is>
          <t>Tier 3</t>
        </is>
      </c>
      <c r="B26" s="1" t="inlineStr">
        <is>
          <t>CZ</t>
        </is>
      </c>
      <c r="C26" s="2" t="n"/>
      <c r="D26" s="2" t="n"/>
      <c r="E26" s="1">
        <f>IFERROR(ROUND(C26/D26,0),"")</f>
        <v/>
      </c>
      <c r="F26" s="2">
        <f>IF(D26="","",D26*$B$244)</f>
        <v/>
      </c>
      <c r="G26" s="2">
        <f>IF(F26="","",ROUND(F26*$B$246,0))</f>
        <v/>
      </c>
      <c r="H26" s="3">
        <f>IF(G26="","",ROUND(G26*10/1000,0))</f>
        <v/>
      </c>
      <c r="I26" s="3">
        <f>IF(G26="","",ROUND(G26*15/1000,0))</f>
        <v/>
      </c>
      <c r="J26" s="3">
        <f>IF(G26="","",ROUND(G26*20/1000,0))</f>
        <v/>
      </c>
      <c r="K26" s="2">
        <f>IF(F26="","",ROUND(F26*0.10,0))</f>
        <v/>
      </c>
      <c r="L26" s="3">
        <f>IF(K26="","",ROUND(K26*5/1000,0))</f>
        <v/>
      </c>
      <c r="M26" s="2">
        <f>IF(F26="","",ROUND(F26*$B$247,0))</f>
        <v/>
      </c>
      <c r="N26" s="1">
        <f>IF(M26="","",ROUND(M26*$B$248,0))</f>
        <v/>
      </c>
      <c r="O26" s="1">
        <f>IF(N26="","",ROUND(N26*$B$249,0))</f>
        <v/>
      </c>
      <c r="P26" s="3">
        <f>IF(O26="","",ROUND(O26*7.30,0))</f>
        <v/>
      </c>
      <c r="Q26" s="3">
        <f>IF(L26="","",L26+P26)</f>
        <v/>
      </c>
    </row>
    <row r="27">
      <c r="A27" s="1" t="inlineStr">
        <is>
          <t>Tier 3</t>
        </is>
      </c>
      <c r="B27" s="1" t="inlineStr">
        <is>
          <t>RS</t>
        </is>
      </c>
      <c r="C27" s="2" t="n"/>
      <c r="D27" s="2" t="n"/>
      <c r="E27" s="1">
        <f>IFERROR(ROUND(C27/D27,0),"")</f>
        <v/>
      </c>
      <c r="F27" s="2">
        <f>IF(D27="","",D27*$B$244)</f>
        <v/>
      </c>
      <c r="G27" s="2">
        <f>IF(F27="","",ROUND(F27*$B$246,0))</f>
        <v/>
      </c>
      <c r="H27" s="3">
        <f>IF(G27="","",ROUND(G27*10/1000,0))</f>
        <v/>
      </c>
      <c r="I27" s="3">
        <f>IF(G27="","",ROUND(G27*15/1000,0))</f>
        <v/>
      </c>
      <c r="J27" s="3">
        <f>IF(G27="","",ROUND(G27*20/1000,0))</f>
        <v/>
      </c>
      <c r="K27" s="2">
        <f>IF(F27="","",ROUND(F27*0.10,0))</f>
        <v/>
      </c>
      <c r="L27" s="3">
        <f>IF(K27="","",ROUND(K27*5/1000,0))</f>
        <v/>
      </c>
      <c r="M27" s="2">
        <f>IF(F27="","",ROUND(F27*$B$247,0))</f>
        <v/>
      </c>
      <c r="N27" s="1">
        <f>IF(M27="","",ROUND(M27*$B$248,0))</f>
        <v/>
      </c>
      <c r="O27" s="1">
        <f>IF(N27="","",ROUND(N27*$B$249,0))</f>
        <v/>
      </c>
      <c r="P27" s="3">
        <f>IF(O27="","",ROUND(O27*7.30,0))</f>
        <v/>
      </c>
      <c r="Q27" s="3">
        <f>IF(L27="","",L27+P27)</f>
        <v/>
      </c>
    </row>
    <row r="28">
      <c r="A28" s="1" t="inlineStr">
        <is>
          <t>Tier 3</t>
        </is>
      </c>
      <c r="B28" s="1" t="inlineStr">
        <is>
          <t>LT</t>
        </is>
      </c>
      <c r="C28" s="2" t="n"/>
      <c r="D28" s="2" t="n"/>
      <c r="E28" s="1">
        <f>IFERROR(ROUND(C28/D28,0),"")</f>
        <v/>
      </c>
      <c r="F28" s="2">
        <f>IF(D28="","",D28*$B$244)</f>
        <v/>
      </c>
      <c r="G28" s="2">
        <f>IF(F28="","",ROUND(F28*$B$246,0))</f>
        <v/>
      </c>
      <c r="H28" s="3">
        <f>IF(G28="","",ROUND(G28*10/1000,0))</f>
        <v/>
      </c>
      <c r="I28" s="3">
        <f>IF(G28="","",ROUND(G28*15/1000,0))</f>
        <v/>
      </c>
      <c r="J28" s="3">
        <f>IF(G28="","",ROUND(G28*20/1000,0))</f>
        <v/>
      </c>
      <c r="K28" s="2">
        <f>IF(F28="","",ROUND(F28*0.10,0))</f>
        <v/>
      </c>
      <c r="L28" s="3">
        <f>IF(K28="","",ROUND(K28*5/1000,0))</f>
        <v/>
      </c>
      <c r="M28" s="2">
        <f>IF(F28="","",ROUND(F28*$B$247,0))</f>
        <v/>
      </c>
      <c r="N28" s="1">
        <f>IF(M28="","",ROUND(M28*$B$248,0))</f>
        <v/>
      </c>
      <c r="O28" s="1">
        <f>IF(N28="","",ROUND(N28*$B$249,0))</f>
        <v/>
      </c>
      <c r="P28" s="3">
        <f>IF(O28="","",ROUND(O28*7.30,0))</f>
        <v/>
      </c>
      <c r="Q28" s="3">
        <f>IF(L28="","",L28+P28)</f>
        <v/>
      </c>
    </row>
    <row r="29">
      <c r="A29" s="1" t="inlineStr">
        <is>
          <t>Tier 3</t>
        </is>
      </c>
      <c r="B29" s="1" t="inlineStr">
        <is>
          <t>LV</t>
        </is>
      </c>
      <c r="C29" s="2" t="n"/>
      <c r="D29" s="2" t="n"/>
      <c r="E29" s="1">
        <f>IFERROR(ROUND(C29/D29,0),"")</f>
        <v/>
      </c>
      <c r="F29" s="2">
        <f>IF(D29="","",D29*$B$244)</f>
        <v/>
      </c>
      <c r="G29" s="2">
        <f>IF(F29="","",ROUND(F29*$B$246,0))</f>
        <v/>
      </c>
      <c r="H29" s="3">
        <f>IF(G29="","",ROUND(G29*10/1000,0))</f>
        <v/>
      </c>
      <c r="I29" s="3">
        <f>IF(G29="","",ROUND(G29*15/1000,0))</f>
        <v/>
      </c>
      <c r="J29" s="3">
        <f>IF(G29="","",ROUND(G29*20/1000,0))</f>
        <v/>
      </c>
      <c r="K29" s="2">
        <f>IF(F29="","",ROUND(F29*0.10,0))</f>
        <v/>
      </c>
      <c r="L29" s="3">
        <f>IF(K29="","",ROUND(K29*5/1000,0))</f>
        <v/>
      </c>
      <c r="M29" s="2">
        <f>IF(F29="","",ROUND(F29*$B$247,0))</f>
        <v/>
      </c>
      <c r="N29" s="1">
        <f>IF(M29="","",ROUND(M29*$B$248,0))</f>
        <v/>
      </c>
      <c r="O29" s="1">
        <f>IF(N29="","",ROUND(N29*$B$249,0))</f>
        <v/>
      </c>
      <c r="P29" s="3">
        <f>IF(O29="","",ROUND(O29*7.30,0))</f>
        <v/>
      </c>
      <c r="Q29" s="3">
        <f>IF(L29="","",L29+P29)</f>
        <v/>
      </c>
    </row>
    <row r="30">
      <c r="A30" s="1" t="inlineStr">
        <is>
          <t>Tier 3</t>
        </is>
      </c>
      <c r="B30" s="1" t="inlineStr">
        <is>
          <t>MK</t>
        </is>
      </c>
      <c r="C30" s="2" t="n"/>
      <c r="D30" s="2" t="n"/>
      <c r="E30" s="1">
        <f>IFERROR(ROUND(C30/D30,0),"")</f>
        <v/>
      </c>
      <c r="F30" s="2">
        <f>IF(D30="","",D30*$B$244)</f>
        <v/>
      </c>
      <c r="G30" s="2">
        <f>IF(F30="","",ROUND(F30*$B$246,0))</f>
        <v/>
      </c>
      <c r="H30" s="3">
        <f>IF(G30="","",ROUND(G30*10/1000,0))</f>
        <v/>
      </c>
      <c r="I30" s="3">
        <f>IF(G30="","",ROUND(G30*15/1000,0))</f>
        <v/>
      </c>
      <c r="J30" s="3">
        <f>IF(G30="","",ROUND(G30*20/1000,0))</f>
        <v/>
      </c>
      <c r="K30" s="2">
        <f>IF(F30="","",ROUND(F30*0.10,0))</f>
        <v/>
      </c>
      <c r="L30" s="3">
        <f>IF(K30="","",ROUND(K30*5/1000,0))</f>
        <v/>
      </c>
      <c r="M30" s="2">
        <f>IF(F30="","",ROUND(F30*$B$247,0))</f>
        <v/>
      </c>
      <c r="N30" s="1">
        <f>IF(M30="","",ROUND(M30*$B$248,0))</f>
        <v/>
      </c>
      <c r="O30" s="1">
        <f>IF(N30="","",ROUND(N30*$B$249,0))</f>
        <v/>
      </c>
      <c r="P30" s="3">
        <f>IF(O30="","",ROUND(O30*7.30,0))</f>
        <v/>
      </c>
      <c r="Q30" s="3">
        <f>IF(L30="","",L30+P30)</f>
        <v/>
      </c>
    </row>
    <row r="31">
      <c r="A31" s="1" t="inlineStr">
        <is>
          <t>Tier 3</t>
        </is>
      </c>
      <c r="B31" s="1" t="inlineStr">
        <is>
          <t>NO</t>
        </is>
      </c>
      <c r="C31" s="2" t="n"/>
      <c r="D31" s="2" t="n"/>
      <c r="E31" s="1">
        <f>IFERROR(ROUND(C31/D31,0),"")</f>
        <v/>
      </c>
      <c r="F31" s="2">
        <f>IF(D31="","",D31*$B$244)</f>
        <v/>
      </c>
      <c r="G31" s="2">
        <f>IF(F31="","",ROUND(F31*$B$246,0))</f>
        <v/>
      </c>
      <c r="H31" s="3">
        <f>IF(G31="","",ROUND(G31*10/1000,0))</f>
        <v/>
      </c>
      <c r="I31" s="3">
        <f>IF(G31="","",ROUND(G31*15/1000,0))</f>
        <v/>
      </c>
      <c r="J31" s="3">
        <f>IF(G31="","",ROUND(G31*20/1000,0))</f>
        <v/>
      </c>
      <c r="K31" s="2">
        <f>IF(F31="","",ROUND(F31*0.10,0))</f>
        <v/>
      </c>
      <c r="L31" s="3">
        <f>IF(K31="","",ROUND(K31*5/1000,0))</f>
        <v/>
      </c>
      <c r="M31" s="2">
        <f>IF(F31="","",ROUND(F31*$B$247,0))</f>
        <v/>
      </c>
      <c r="N31" s="1">
        <f>IF(M31="","",ROUND(M31*$B$248,0))</f>
        <v/>
      </c>
      <c r="O31" s="1">
        <f>IF(N31="","",ROUND(N31*$B$249,0))</f>
        <v/>
      </c>
      <c r="P31" s="3">
        <f>IF(O31="","",ROUND(O31*7.30,0))</f>
        <v/>
      </c>
      <c r="Q31" s="3">
        <f>IF(L31="","",L31+P31)</f>
        <v/>
      </c>
    </row>
    <row r="32">
      <c r="A32" s="1" t="inlineStr">
        <is>
          <t>Tier 3</t>
        </is>
      </c>
      <c r="B32" s="1" t="inlineStr">
        <is>
          <t>HU</t>
        </is>
      </c>
      <c r="C32" s="2" t="n"/>
      <c r="D32" s="2" t="n"/>
      <c r="E32" s="1">
        <f>IFERROR(ROUND(C32/D32,0),"")</f>
        <v/>
      </c>
      <c r="F32" s="2">
        <f>IF(D32="","",D32*$B$244)</f>
        <v/>
      </c>
      <c r="G32" s="2">
        <f>IF(F32="","",ROUND(F32*$B$246,0))</f>
        <v/>
      </c>
      <c r="H32" s="3">
        <f>IF(G32="","",ROUND(G32*10/1000,0))</f>
        <v/>
      </c>
      <c r="I32" s="3">
        <f>IF(G32="","",ROUND(G32*15/1000,0))</f>
        <v/>
      </c>
      <c r="J32" s="3">
        <f>IF(G32="","",ROUND(G32*20/1000,0))</f>
        <v/>
      </c>
      <c r="K32" s="2">
        <f>IF(F32="","",ROUND(F32*0.10,0))</f>
        <v/>
      </c>
      <c r="L32" s="3">
        <f>IF(K32="","",ROUND(K32*5/1000,0))</f>
        <v/>
      </c>
      <c r="M32" s="2">
        <f>IF(F32="","",ROUND(F32*$B$247,0))</f>
        <v/>
      </c>
      <c r="N32" s="1">
        <f>IF(M32="","",ROUND(M32*$B$248,0))</f>
        <v/>
      </c>
      <c r="O32" s="1">
        <f>IF(N32="","",ROUND(N32*$B$249,0))</f>
        <v/>
      </c>
      <c r="P32" s="3">
        <f>IF(O32="","",ROUND(O32*7.30,0))</f>
        <v/>
      </c>
      <c r="Q32" s="3">
        <f>IF(L32="","",L32+P32)</f>
        <v/>
      </c>
    </row>
    <row r="33">
      <c r="A33" s="1" t="inlineStr">
        <is>
          <t>Tier 3</t>
        </is>
      </c>
      <c r="B33" s="1" t="inlineStr">
        <is>
          <t>SK</t>
        </is>
      </c>
      <c r="C33" s="2" t="n"/>
      <c r="D33" s="2" t="n"/>
      <c r="E33" s="1">
        <f>IFERROR(ROUND(C33/D33,0),"")</f>
        <v/>
      </c>
      <c r="F33" s="2">
        <f>IF(D33="","",D33*$B$244)</f>
        <v/>
      </c>
      <c r="G33" s="2">
        <f>IF(F33="","",ROUND(F33*$B$246,0))</f>
        <v/>
      </c>
      <c r="H33" s="3">
        <f>IF(G33="","",ROUND(G33*10/1000,0))</f>
        <v/>
      </c>
      <c r="I33" s="3">
        <f>IF(G33="","",ROUND(G33*15/1000,0))</f>
        <v/>
      </c>
      <c r="J33" s="3">
        <f>IF(G33="","",ROUND(G33*20/1000,0))</f>
        <v/>
      </c>
      <c r="K33" s="2">
        <f>IF(F33="","",ROUND(F33*0.10,0))</f>
        <v/>
      </c>
      <c r="L33" s="3">
        <f>IF(K33="","",ROUND(K33*5/1000,0))</f>
        <v/>
      </c>
      <c r="M33" s="2">
        <f>IF(F33="","",ROUND(F33*$B$247,0))</f>
        <v/>
      </c>
      <c r="N33" s="1">
        <f>IF(M33="","",ROUND(M33*$B$248,0))</f>
        <v/>
      </c>
      <c r="O33" s="1">
        <f>IF(N33="","",ROUND(N33*$B$249,0))</f>
        <v/>
      </c>
      <c r="P33" s="3">
        <f>IF(O33="","",ROUND(O33*7.30,0))</f>
        <v/>
      </c>
      <c r="Q33" s="3">
        <f>IF(L33="","",L33+P33)</f>
        <v/>
      </c>
    </row>
    <row r="34">
      <c r="A34" s="1" t="inlineStr">
        <is>
          <t>Tier 3</t>
        </is>
      </c>
      <c r="B34" s="1" t="inlineStr">
        <is>
          <t>BG</t>
        </is>
      </c>
      <c r="C34" s="2" t="n"/>
      <c r="D34" s="2" t="n"/>
      <c r="E34" s="1">
        <f>IFERROR(ROUND(C34/D34,0),"")</f>
        <v/>
      </c>
      <c r="F34" s="2">
        <f>IF(D34="","",D34*$B$244)</f>
        <v/>
      </c>
      <c r="G34" s="2">
        <f>IF(F34="","",ROUND(F34*$B$246,0))</f>
        <v/>
      </c>
      <c r="H34" s="3">
        <f>IF(G34="","",ROUND(G34*10/1000,0))</f>
        <v/>
      </c>
      <c r="I34" s="3">
        <f>IF(G34="","",ROUND(G34*15/1000,0))</f>
        <v/>
      </c>
      <c r="J34" s="3">
        <f>IF(G34="","",ROUND(G34*20/1000,0))</f>
        <v/>
      </c>
      <c r="K34" s="2">
        <f>IF(F34="","",ROUND(F34*0.10,0))</f>
        <v/>
      </c>
      <c r="L34" s="3">
        <f>IF(K34="","",ROUND(K34*5/1000,0))</f>
        <v/>
      </c>
      <c r="M34" s="2">
        <f>IF(F34="","",ROUND(F34*$B$247,0))</f>
        <v/>
      </c>
      <c r="N34" s="1">
        <f>IF(M34="","",ROUND(M34*$B$248,0))</f>
        <v/>
      </c>
      <c r="O34" s="1">
        <f>IF(N34="","",ROUND(N34*$B$249,0))</f>
        <v/>
      </c>
      <c r="P34" s="3">
        <f>IF(O34="","",ROUND(O34*7.30,0))</f>
        <v/>
      </c>
      <c r="Q34" s="3">
        <f>IF(L34="","",L34+P34)</f>
        <v/>
      </c>
    </row>
    <row r="35">
      <c r="A35" s="1" t="inlineStr">
        <is>
          <t>Tier 3</t>
        </is>
      </c>
      <c r="B35" s="1" t="inlineStr">
        <is>
          <t>KG</t>
        </is>
      </c>
      <c r="C35" s="2" t="n"/>
      <c r="D35" s="2" t="n"/>
      <c r="E35" s="1">
        <f>IFERROR(ROUND(C35/D35,0),"")</f>
        <v/>
      </c>
      <c r="F35" s="2">
        <f>IF(D35="","",D35*$B$244)</f>
        <v/>
      </c>
      <c r="G35" s="2">
        <f>IF(F35="","",ROUND(F35*$B$246,0))</f>
        <v/>
      </c>
      <c r="H35" s="3">
        <f>IF(G35="","",ROUND(G35*10/1000,0))</f>
        <v/>
      </c>
      <c r="I35" s="3">
        <f>IF(G35="","",ROUND(G35*15/1000,0))</f>
        <v/>
      </c>
      <c r="J35" s="3">
        <f>IF(G35="","",ROUND(G35*20/1000,0))</f>
        <v/>
      </c>
      <c r="K35" s="2">
        <f>IF(F35="","",ROUND(F35*0.10,0))</f>
        <v/>
      </c>
      <c r="L35" s="3">
        <f>IF(K35="","",ROUND(K35*5/1000,0))</f>
        <v/>
      </c>
      <c r="M35" s="2">
        <f>IF(F35="","",ROUND(F35*$B$247,0))</f>
        <v/>
      </c>
      <c r="N35" s="1">
        <f>IF(M35="","",ROUND(M35*$B$248,0))</f>
        <v/>
      </c>
      <c r="O35" s="1">
        <f>IF(N35="","",ROUND(N35*$B$249,0))</f>
        <v/>
      </c>
      <c r="P35" s="3">
        <f>IF(O35="","",ROUND(O35*7.30,0))</f>
        <v/>
      </c>
      <c r="Q35" s="3">
        <f>IF(L35="","",L35+P35)</f>
        <v/>
      </c>
    </row>
    <row r="36">
      <c r="A36" s="1" t="inlineStr">
        <is>
          <t>Tier 3</t>
        </is>
      </c>
      <c r="B36" s="1" t="inlineStr">
        <is>
          <t>GE</t>
        </is>
      </c>
      <c r="C36" s="2" t="n"/>
      <c r="D36" s="2" t="n"/>
      <c r="E36" s="1">
        <f>IFERROR(ROUND(C36/D36,0),"")</f>
        <v/>
      </c>
      <c r="F36" s="2">
        <f>IF(D36="","",D36*$B$244)</f>
        <v/>
      </c>
      <c r="G36" s="2">
        <f>IF(F36="","",ROUND(F36*$B$246,0))</f>
        <v/>
      </c>
      <c r="H36" s="3">
        <f>IF(G36="","",ROUND(G36*10/1000,0))</f>
        <v/>
      </c>
      <c r="I36" s="3">
        <f>IF(G36="","",ROUND(G36*15/1000,0))</f>
        <v/>
      </c>
      <c r="J36" s="3">
        <f>IF(G36="","",ROUND(G36*20/1000,0))</f>
        <v/>
      </c>
      <c r="K36" s="2">
        <f>IF(F36="","",ROUND(F36*0.10,0))</f>
        <v/>
      </c>
      <c r="L36" s="3">
        <f>IF(K36="","",ROUND(K36*5/1000,0))</f>
        <v/>
      </c>
      <c r="M36" s="2">
        <f>IF(F36="","",ROUND(F36*$B$247,0))</f>
        <v/>
      </c>
      <c r="N36" s="1">
        <f>IF(M36="","",ROUND(M36*$B$248,0))</f>
        <v/>
      </c>
      <c r="O36" s="1">
        <f>IF(N36="","",ROUND(N36*$B$249,0))</f>
        <v/>
      </c>
      <c r="P36" s="3">
        <f>IF(O36="","",ROUND(O36*7.30,0))</f>
        <v/>
      </c>
      <c r="Q36" s="3">
        <f>IF(L36="","",L36+P36)</f>
        <v/>
      </c>
    </row>
    <row r="37">
      <c r="A37" s="1" t="inlineStr">
        <is>
          <t>Tier 3</t>
        </is>
      </c>
      <c r="B37" s="1" t="inlineStr">
        <is>
          <t>EE</t>
        </is>
      </c>
      <c r="C37" s="2" t="n"/>
      <c r="D37" s="2" t="n"/>
      <c r="E37" s="1">
        <f>IFERROR(ROUND(C37/D37,0),"")</f>
        <v/>
      </c>
      <c r="F37" s="2">
        <f>IF(D37="","",D37*$B$244)</f>
        <v/>
      </c>
      <c r="G37" s="2">
        <f>IF(F37="","",ROUND(F37*$B$246,0))</f>
        <v/>
      </c>
      <c r="H37" s="3">
        <f>IF(G37="","",ROUND(G37*10/1000,0))</f>
        <v/>
      </c>
      <c r="I37" s="3">
        <f>IF(G37="","",ROUND(G37*15/1000,0))</f>
        <v/>
      </c>
      <c r="J37" s="3">
        <f>IF(G37="","",ROUND(G37*20/1000,0))</f>
        <v/>
      </c>
      <c r="K37" s="2">
        <f>IF(F37="","",ROUND(F37*0.10,0))</f>
        <v/>
      </c>
      <c r="L37" s="3">
        <f>IF(K37="","",ROUND(K37*5/1000,0))</f>
        <v/>
      </c>
      <c r="M37" s="2">
        <f>IF(F37="","",ROUND(F37*$B$247,0))</f>
        <v/>
      </c>
      <c r="N37" s="1">
        <f>IF(M37="","",ROUND(M37*$B$248,0))</f>
        <v/>
      </c>
      <c r="O37" s="1">
        <f>IF(N37="","",ROUND(N37*$B$249,0))</f>
        <v/>
      </c>
      <c r="P37" s="3">
        <f>IF(O37="","",ROUND(O37*7.30,0))</f>
        <v/>
      </c>
      <c r="Q37" s="3">
        <f>IF(L37="","",L37+P37)</f>
        <v/>
      </c>
    </row>
    <row r="38">
      <c r="A38" s="1" t="inlineStr">
        <is>
          <t>Tier 3</t>
        </is>
      </c>
      <c r="B38" s="1" t="inlineStr">
        <is>
          <t>AT</t>
        </is>
      </c>
      <c r="C38" s="2" t="n"/>
      <c r="D38" s="2" t="n"/>
      <c r="E38" s="1">
        <f>IFERROR(ROUND(C38/D38,0),"")</f>
        <v/>
      </c>
      <c r="F38" s="2">
        <f>IF(D38="","",D38*$B$244)</f>
        <v/>
      </c>
      <c r="G38" s="2">
        <f>IF(F38="","",ROUND(F38*$B$246,0))</f>
        <v/>
      </c>
      <c r="H38" s="3">
        <f>IF(G38="","",ROUND(G38*10/1000,0))</f>
        <v/>
      </c>
      <c r="I38" s="3">
        <f>IF(G38="","",ROUND(G38*15/1000,0))</f>
        <v/>
      </c>
      <c r="J38" s="3">
        <f>IF(G38="","",ROUND(G38*20/1000,0))</f>
        <v/>
      </c>
      <c r="K38" s="2">
        <f>IF(F38="","",ROUND(F38*0.10,0))</f>
        <v/>
      </c>
      <c r="L38" s="3">
        <f>IF(K38="","",ROUND(K38*5/1000,0))</f>
        <v/>
      </c>
      <c r="M38" s="2">
        <f>IF(F38="","",ROUND(F38*$B$247,0))</f>
        <v/>
      </c>
      <c r="N38" s="1">
        <f>IF(M38="","",ROUND(M38*$B$248,0))</f>
        <v/>
      </c>
      <c r="O38" s="1">
        <f>IF(N38="","",ROUND(N38*$B$249,0))</f>
        <v/>
      </c>
      <c r="P38" s="3">
        <f>IF(O38="","",ROUND(O38*7.30,0))</f>
        <v/>
      </c>
      <c r="Q38" s="3">
        <f>IF(L38="","",L38+P38)</f>
        <v/>
      </c>
    </row>
    <row r="39">
      <c r="A39" s="1" t="inlineStr">
        <is>
          <t>Tier 3</t>
        </is>
      </c>
      <c r="B39" s="1" t="inlineStr">
        <is>
          <t>HK</t>
        </is>
      </c>
      <c r="C39" s="2" t="n"/>
      <c r="D39" s="2" t="n"/>
      <c r="E39" s="1">
        <f>IFERROR(ROUND(C39/D39,0),"")</f>
        <v/>
      </c>
      <c r="F39" s="2">
        <f>IF(D39="","",D39*$B$244)</f>
        <v/>
      </c>
      <c r="G39" s="2">
        <f>IF(F39="","",ROUND(F39*$B$246,0))</f>
        <v/>
      </c>
      <c r="H39" s="3">
        <f>IF(G39="","",ROUND(G39*10/1000,0))</f>
        <v/>
      </c>
      <c r="I39" s="3">
        <f>IF(G39="","",ROUND(G39*15/1000,0))</f>
        <v/>
      </c>
      <c r="J39" s="3">
        <f>IF(G39="","",ROUND(G39*20/1000,0))</f>
        <v/>
      </c>
      <c r="K39" s="2">
        <f>IF(F39="","",ROUND(F39*0.10,0))</f>
        <v/>
      </c>
      <c r="L39" s="3">
        <f>IF(K39="","",ROUND(K39*5/1000,0))</f>
        <v/>
      </c>
      <c r="M39" s="2">
        <f>IF(F39="","",ROUND(F39*$B$247,0))</f>
        <v/>
      </c>
      <c r="N39" s="1">
        <f>IF(M39="","",ROUND(M39*$B$248,0))</f>
        <v/>
      </c>
      <c r="O39" s="1">
        <f>IF(N39="","",ROUND(N39*$B$249,0))</f>
        <v/>
      </c>
      <c r="P39" s="3">
        <f>IF(O39="","",ROUND(O39*7.30,0))</f>
        <v/>
      </c>
      <c r="Q39" s="3">
        <f>IF(L39="","",L39+P39)</f>
        <v/>
      </c>
    </row>
    <row r="40">
      <c r="A40" s="1" t="inlineStr">
        <is>
          <t>Tier 3</t>
        </is>
      </c>
      <c r="B40" s="1" t="inlineStr">
        <is>
          <t>BE</t>
        </is>
      </c>
      <c r="C40" s="2" t="n"/>
      <c r="D40" s="2" t="n"/>
      <c r="E40" s="1">
        <f>IFERROR(ROUND(C40/D40,0),"")</f>
        <v/>
      </c>
      <c r="F40" s="2">
        <f>IF(D40="","",D40*$B$244)</f>
        <v/>
      </c>
      <c r="G40" s="2">
        <f>IF(F40="","",ROUND(F40*$B$246,0))</f>
        <v/>
      </c>
      <c r="H40" s="3">
        <f>IF(G40="","",ROUND(G40*10/1000,0))</f>
        <v/>
      </c>
      <c r="I40" s="3">
        <f>IF(G40="","",ROUND(G40*15/1000,0))</f>
        <v/>
      </c>
      <c r="J40" s="3">
        <f>IF(G40="","",ROUND(G40*20/1000,0))</f>
        <v/>
      </c>
      <c r="K40" s="2">
        <f>IF(F40="","",ROUND(F40*0.10,0))</f>
        <v/>
      </c>
      <c r="L40" s="3">
        <f>IF(K40="","",ROUND(K40*5/1000,0))</f>
        <v/>
      </c>
      <c r="M40" s="2">
        <f>IF(F40="","",ROUND(F40*$B$247,0))</f>
        <v/>
      </c>
      <c r="N40" s="1">
        <f>IF(M40="","",ROUND(M40*$B$248,0))</f>
        <v/>
      </c>
      <c r="O40" s="1">
        <f>IF(N40="","",ROUND(N40*$B$249,0))</f>
        <v/>
      </c>
      <c r="P40" s="3">
        <f>IF(O40="","",ROUND(O40*7.30,0))</f>
        <v/>
      </c>
      <c r="Q40" s="3">
        <f>IF(L40="","",L40+P40)</f>
        <v/>
      </c>
    </row>
    <row r="41">
      <c r="A41" s="1" t="inlineStr">
        <is>
          <t>Tier 3</t>
        </is>
      </c>
      <c r="B41" s="1" t="inlineStr">
        <is>
          <t>VN</t>
        </is>
      </c>
      <c r="C41" s="2" t="n"/>
      <c r="D41" s="2" t="n"/>
      <c r="E41" s="1">
        <f>IFERROR(ROUND(C41/D41,0),"")</f>
        <v/>
      </c>
      <c r="F41" s="2">
        <f>IF(D41="","",D41*$B$244)</f>
        <v/>
      </c>
      <c r="G41" s="2">
        <f>IF(F41="","",ROUND(F41*$B$246,0))</f>
        <v/>
      </c>
      <c r="H41" s="3">
        <f>IF(G41="","",ROUND(G41*10/1000,0))</f>
        <v/>
      </c>
      <c r="I41" s="3">
        <f>IF(G41="","",ROUND(G41*15/1000,0))</f>
        <v/>
      </c>
      <c r="J41" s="3">
        <f>IF(G41="","",ROUND(G41*20/1000,0))</f>
        <v/>
      </c>
      <c r="K41" s="2">
        <f>IF(F41="","",ROUND(F41*0.10,0))</f>
        <v/>
      </c>
      <c r="L41" s="3">
        <f>IF(K41="","",ROUND(K41*5/1000,0))</f>
        <v/>
      </c>
      <c r="M41" s="2">
        <f>IF(F41="","",ROUND(F41*$B$247,0))</f>
        <v/>
      </c>
      <c r="N41" s="1">
        <f>IF(M41="","",ROUND(M41*$B$248,0))</f>
        <v/>
      </c>
      <c r="O41" s="1">
        <f>IF(N41="","",ROUND(N41*$B$249,0))</f>
        <v/>
      </c>
      <c r="P41" s="3">
        <f>IF(O41="","",ROUND(O41*7.30,0))</f>
        <v/>
      </c>
      <c r="Q41" s="3">
        <f>IF(L41="","",L41+P41)</f>
        <v/>
      </c>
    </row>
    <row r="42">
      <c r="A42" s="1" t="inlineStr">
        <is>
          <t>Tier 3</t>
        </is>
      </c>
      <c r="B42" s="1" t="inlineStr">
        <is>
          <t>MD</t>
        </is>
      </c>
      <c r="C42" s="2" t="n"/>
      <c r="D42" s="2" t="n"/>
      <c r="E42" s="1">
        <f>IFERROR(ROUND(C42/D42,0),"")</f>
        <v/>
      </c>
      <c r="F42" s="2">
        <f>IF(D42="","",D42*$B$244)</f>
        <v/>
      </c>
      <c r="G42" s="2">
        <f>IF(F42="","",ROUND(F42*$B$246,0))</f>
        <v/>
      </c>
      <c r="H42" s="3">
        <f>IF(G42="","",ROUND(G42*10/1000,0))</f>
        <v/>
      </c>
      <c r="I42" s="3">
        <f>IF(G42="","",ROUND(G42*15/1000,0))</f>
        <v/>
      </c>
      <c r="J42" s="3">
        <f>IF(G42="","",ROUND(G42*20/1000,0))</f>
        <v/>
      </c>
      <c r="K42" s="2">
        <f>IF(F42="","",ROUND(F42*0.10,0))</f>
        <v/>
      </c>
      <c r="L42" s="3">
        <f>IF(K42="","",ROUND(K42*5/1000,0))</f>
        <v/>
      </c>
      <c r="M42" s="2">
        <f>IF(F42="","",ROUND(F42*$B$247,0))</f>
        <v/>
      </c>
      <c r="N42" s="1">
        <f>IF(M42="","",ROUND(M42*$B$248,0))</f>
        <v/>
      </c>
      <c r="O42" s="1">
        <f>IF(N42="","",ROUND(N42*$B$249,0))</f>
        <v/>
      </c>
      <c r="P42" s="3">
        <f>IF(O42="","",ROUND(O42*7.30,0))</f>
        <v/>
      </c>
      <c r="Q42" s="3">
        <f>IF(L42="","",L42+P42)</f>
        <v/>
      </c>
    </row>
    <row r="43">
      <c r="A43" s="1" t="inlineStr">
        <is>
          <t>Tier 3</t>
        </is>
      </c>
      <c r="B43" s="1" t="inlineStr">
        <is>
          <t>CH</t>
        </is>
      </c>
      <c r="C43" s="2" t="n"/>
      <c r="D43" s="2" t="n"/>
      <c r="E43" s="1">
        <f>IFERROR(ROUND(C43/D43,0),"")</f>
        <v/>
      </c>
      <c r="F43" s="2">
        <f>IF(D43="","",D43*$B$244)</f>
        <v/>
      </c>
      <c r="G43" s="2">
        <f>IF(F43="","",ROUND(F43*$B$246,0))</f>
        <v/>
      </c>
      <c r="H43" s="3">
        <f>IF(G43="","",ROUND(G43*10/1000,0))</f>
        <v/>
      </c>
      <c r="I43" s="3">
        <f>IF(G43="","",ROUND(G43*15/1000,0))</f>
        <v/>
      </c>
      <c r="J43" s="3">
        <f>IF(G43="","",ROUND(G43*20/1000,0))</f>
        <v/>
      </c>
      <c r="K43" s="2">
        <f>IF(F43="","",ROUND(F43*0.10,0))</f>
        <v/>
      </c>
      <c r="L43" s="3">
        <f>IF(K43="","",ROUND(K43*5/1000,0))</f>
        <v/>
      </c>
      <c r="M43" s="2">
        <f>IF(F43="","",ROUND(F43*$B$247,0))</f>
        <v/>
      </c>
      <c r="N43" s="1">
        <f>IF(M43="","",ROUND(M43*$B$248,0))</f>
        <v/>
      </c>
      <c r="O43" s="1">
        <f>IF(N43="","",ROUND(N43*$B$249,0))</f>
        <v/>
      </c>
      <c r="P43" s="3">
        <f>IF(O43="","",ROUND(O43*7.30,0))</f>
        <v/>
      </c>
      <c r="Q43" s="3">
        <f>IF(L43="","",L43+P43)</f>
        <v/>
      </c>
    </row>
    <row r="44">
      <c r="A44" s="1" t="inlineStr">
        <is>
          <t>Tier 3</t>
        </is>
      </c>
      <c r="B44" s="1" t="inlineStr">
        <is>
          <t>AL</t>
        </is>
      </c>
      <c r="C44" s="2" t="n"/>
      <c r="D44" s="2" t="n"/>
      <c r="E44" s="1">
        <f>IFERROR(ROUND(C44/D44,0),"")</f>
        <v/>
      </c>
      <c r="F44" s="2">
        <f>IF(D44="","",D44*$B$244)</f>
        <v/>
      </c>
      <c r="G44" s="2">
        <f>IF(F44="","",ROUND(F44*$B$246,0))</f>
        <v/>
      </c>
      <c r="H44" s="3">
        <f>IF(G44="","",ROUND(G44*10/1000,0))</f>
        <v/>
      </c>
      <c r="I44" s="3">
        <f>IF(G44="","",ROUND(G44*15/1000,0))</f>
        <v/>
      </c>
      <c r="J44" s="3">
        <f>IF(G44="","",ROUND(G44*20/1000,0))</f>
        <v/>
      </c>
      <c r="K44" s="2">
        <f>IF(F44="","",ROUND(F44*0.10,0))</f>
        <v/>
      </c>
      <c r="L44" s="3">
        <f>IF(K44="","",ROUND(K44*5/1000,0))</f>
        <v/>
      </c>
      <c r="M44" s="2">
        <f>IF(F44="","",ROUND(F44*$B$247,0))</f>
        <v/>
      </c>
      <c r="N44" s="1">
        <f>IF(M44="","",ROUND(M44*$B$248,0))</f>
        <v/>
      </c>
      <c r="O44" s="1">
        <f>IF(N44="","",ROUND(N44*$B$249,0))</f>
        <v/>
      </c>
      <c r="P44" s="3">
        <f>IF(O44="","",ROUND(O44*7.30,0))</f>
        <v/>
      </c>
      <c r="Q44" s="3">
        <f>IF(L44="","",L44+P44)</f>
        <v/>
      </c>
    </row>
    <row r="45">
      <c r="A45" s="1" t="inlineStr">
        <is>
          <t>Tier 3</t>
        </is>
      </c>
      <c r="B45" s="1" t="inlineStr">
        <is>
          <t>SG</t>
        </is>
      </c>
      <c r="C45" s="2" t="n"/>
      <c r="D45" s="2" t="n"/>
      <c r="E45" s="1">
        <f>IFERROR(ROUND(C45/D45,0),"")</f>
        <v/>
      </c>
      <c r="F45" s="2">
        <f>IF(D45="","",D45*$B$244)</f>
        <v/>
      </c>
      <c r="G45" s="2">
        <f>IF(F45="","",ROUND(F45*$B$246,0))</f>
        <v/>
      </c>
      <c r="H45" s="3">
        <f>IF(G45="","",ROUND(G45*10/1000,0))</f>
        <v/>
      </c>
      <c r="I45" s="3">
        <f>IF(G45="","",ROUND(G45*15/1000,0))</f>
        <v/>
      </c>
      <c r="J45" s="3">
        <f>IF(G45="","",ROUND(G45*20/1000,0))</f>
        <v/>
      </c>
      <c r="K45" s="2">
        <f>IF(F45="","",ROUND(F45*0.10,0))</f>
        <v/>
      </c>
      <c r="L45" s="3">
        <f>IF(K45="","",ROUND(K45*5/1000,0))</f>
        <v/>
      </c>
      <c r="M45" s="2">
        <f>IF(F45="","",ROUND(F45*$B$247,0))</f>
        <v/>
      </c>
      <c r="N45" s="1">
        <f>IF(M45="","",ROUND(M45*$B$248,0))</f>
        <v/>
      </c>
      <c r="O45" s="1">
        <f>IF(N45="","",ROUND(N45*$B$249,0))</f>
        <v/>
      </c>
      <c r="P45" s="3">
        <f>IF(O45="","",ROUND(O45*7.30,0))</f>
        <v/>
      </c>
      <c r="Q45" s="3">
        <f>IF(L45="","",L45+P45)</f>
        <v/>
      </c>
    </row>
    <row r="46">
      <c r="A46" s="1" t="inlineStr">
        <is>
          <t>Tier 3</t>
        </is>
      </c>
      <c r="B46" s="1" t="inlineStr">
        <is>
          <t>BA</t>
        </is>
      </c>
      <c r="C46" s="2" t="n"/>
      <c r="D46" s="2" t="n"/>
      <c r="E46" s="1">
        <f>IFERROR(ROUND(C46/D46,0),"")</f>
        <v/>
      </c>
      <c r="F46" s="2">
        <f>IF(D46="","",D46*$B$244)</f>
        <v/>
      </c>
      <c r="G46" s="2">
        <f>IF(F46="","",ROUND(F46*$B$246,0))</f>
        <v/>
      </c>
      <c r="H46" s="3">
        <f>IF(G46="","",ROUND(G46*10/1000,0))</f>
        <v/>
      </c>
      <c r="I46" s="3">
        <f>IF(G46="","",ROUND(G46*15/1000,0))</f>
        <v/>
      </c>
      <c r="J46" s="3">
        <f>IF(G46="","",ROUND(G46*20/1000,0))</f>
        <v/>
      </c>
      <c r="K46" s="2">
        <f>IF(F46="","",ROUND(F46*0.10,0))</f>
        <v/>
      </c>
      <c r="L46" s="3">
        <f>IF(K46="","",ROUND(K46*5/1000,0))</f>
        <v/>
      </c>
      <c r="M46" s="2">
        <f>IF(F46="","",ROUND(F46*$B$247,0))</f>
        <v/>
      </c>
      <c r="N46" s="1">
        <f>IF(M46="","",ROUND(M46*$B$248,0))</f>
        <v/>
      </c>
      <c r="O46" s="1">
        <f>IF(N46="","",ROUND(N46*$B$249,0))</f>
        <v/>
      </c>
      <c r="P46" s="3">
        <f>IF(O46="","",ROUND(O46*7.30,0))</f>
        <v/>
      </c>
      <c r="Q46" s="3">
        <f>IF(L46="","",L46+P46)</f>
        <v/>
      </c>
    </row>
    <row r="47">
      <c r="A47" s="1" t="inlineStr">
        <is>
          <t>Tier 3</t>
        </is>
      </c>
      <c r="B47" s="1" t="inlineStr">
        <is>
          <t>PK</t>
        </is>
      </c>
      <c r="C47" s="2" t="n"/>
      <c r="D47" s="2" t="n"/>
      <c r="E47" s="1">
        <f>IFERROR(ROUND(C47/D47,0),"")</f>
        <v/>
      </c>
      <c r="F47" s="2">
        <f>IF(D47="","",D47*$B$244)</f>
        <v/>
      </c>
      <c r="G47" s="2">
        <f>IF(F47="","",ROUND(F47*$B$246,0))</f>
        <v/>
      </c>
      <c r="H47" s="3">
        <f>IF(G47="","",ROUND(G47*10/1000,0))</f>
        <v/>
      </c>
      <c r="I47" s="3">
        <f>IF(G47="","",ROUND(G47*15/1000,0))</f>
        <v/>
      </c>
      <c r="J47" s="3">
        <f>IF(G47="","",ROUND(G47*20/1000,0))</f>
        <v/>
      </c>
      <c r="K47" s="2">
        <f>IF(F47="","",ROUND(F47*0.10,0))</f>
        <v/>
      </c>
      <c r="L47" s="3">
        <f>IF(K47="","",ROUND(K47*5/1000,0))</f>
        <v/>
      </c>
      <c r="M47" s="2">
        <f>IF(F47="","",ROUND(F47*$B$247,0))</f>
        <v/>
      </c>
      <c r="N47" s="1">
        <f>IF(M47="","",ROUND(M47*$B$248,0))</f>
        <v/>
      </c>
      <c r="O47" s="1">
        <f>IF(N47="","",ROUND(N47*$B$249,0))</f>
        <v/>
      </c>
      <c r="P47" s="3">
        <f>IF(O47="","",ROUND(O47*7.30,0))</f>
        <v/>
      </c>
      <c r="Q47" s="3">
        <f>IF(L47="","",L47+P47)</f>
        <v/>
      </c>
    </row>
    <row r="48">
      <c r="A48" s="1" t="inlineStr">
        <is>
          <t>Tier 3</t>
        </is>
      </c>
      <c r="B48" s="1" t="inlineStr">
        <is>
          <t>IL</t>
        </is>
      </c>
      <c r="C48" s="2" t="n"/>
      <c r="D48" s="2" t="n"/>
      <c r="E48" s="1">
        <f>IFERROR(ROUND(C48/D48,0),"")</f>
        <v/>
      </c>
      <c r="F48" s="2">
        <f>IF(D48="","",D48*$B$244)</f>
        <v/>
      </c>
      <c r="G48" s="2">
        <f>IF(F48="","",ROUND(F48*$B$246,0))</f>
        <v/>
      </c>
      <c r="H48" s="3">
        <f>IF(G48="","",ROUND(G48*10/1000,0))</f>
        <v/>
      </c>
      <c r="I48" s="3">
        <f>IF(G48="","",ROUND(G48*15/1000,0))</f>
        <v/>
      </c>
      <c r="J48" s="3">
        <f>IF(G48="","",ROUND(G48*20/1000,0))</f>
        <v/>
      </c>
      <c r="K48" s="2">
        <f>IF(F48="","",ROUND(F48*0.10,0))</f>
        <v/>
      </c>
      <c r="L48" s="3">
        <f>IF(K48="","",ROUND(K48*5/1000,0))</f>
        <v/>
      </c>
      <c r="M48" s="2">
        <f>IF(F48="","",ROUND(F48*$B$247,0))</f>
        <v/>
      </c>
      <c r="N48" s="1">
        <f>IF(M48="","",ROUND(M48*$B$248,0))</f>
        <v/>
      </c>
      <c r="O48" s="1">
        <f>IF(N48="","",ROUND(N48*$B$249,0))</f>
        <v/>
      </c>
      <c r="P48" s="3">
        <f>IF(O48="","",ROUND(O48*7.30,0))</f>
        <v/>
      </c>
      <c r="Q48" s="3">
        <f>IF(L48="","",L48+P48)</f>
        <v/>
      </c>
    </row>
    <row r="49">
      <c r="A49" s="1" t="inlineStr">
        <is>
          <t>Tier 3</t>
        </is>
      </c>
      <c r="B49" s="1" t="inlineStr">
        <is>
          <t>IR</t>
        </is>
      </c>
      <c r="C49" s="2" t="n"/>
      <c r="D49" s="2" t="n"/>
      <c r="E49" s="1">
        <f>IFERROR(ROUND(C49/D49,0),"")</f>
        <v/>
      </c>
      <c r="F49" s="2">
        <f>IF(D49="","",D49*$B$244)</f>
        <v/>
      </c>
      <c r="G49" s="2">
        <f>IF(F49="","",ROUND(F49*$B$246,0))</f>
        <v/>
      </c>
      <c r="H49" s="3">
        <f>IF(G49="","",ROUND(G49*10/1000,0))</f>
        <v/>
      </c>
      <c r="I49" s="3">
        <f>IF(G49="","",ROUND(G49*15/1000,0))</f>
        <v/>
      </c>
      <c r="J49" s="3">
        <f>IF(G49="","",ROUND(G49*20/1000,0))</f>
        <v/>
      </c>
      <c r="K49" s="2">
        <f>IF(F49="","",ROUND(F49*0.10,0))</f>
        <v/>
      </c>
      <c r="L49" s="3">
        <f>IF(K49="","",ROUND(K49*5/1000,0))</f>
        <v/>
      </c>
      <c r="M49" s="2">
        <f>IF(F49="","",ROUND(F49*$B$247,0))</f>
        <v/>
      </c>
      <c r="N49" s="1">
        <f>IF(M49="","",ROUND(M49*$B$248,0))</f>
        <v/>
      </c>
      <c r="O49" s="1">
        <f>IF(N49="","",ROUND(N49*$B$249,0))</f>
        <v/>
      </c>
      <c r="P49" s="3">
        <f>IF(O49="","",ROUND(O49*7.30,0))</f>
        <v/>
      </c>
      <c r="Q49" s="3">
        <f>IF(L49="","",L49+P49)</f>
        <v/>
      </c>
    </row>
    <row r="50">
      <c r="A50" s="1" t="inlineStr">
        <is>
          <t>Tier 3</t>
        </is>
      </c>
      <c r="B50" s="1" t="inlineStr">
        <is>
          <t>HR</t>
        </is>
      </c>
      <c r="C50" s="2" t="n"/>
      <c r="D50" s="2" t="n"/>
      <c r="E50" s="1">
        <f>IFERROR(ROUND(C50/D50,0),"")</f>
        <v/>
      </c>
      <c r="F50" s="2">
        <f>IF(D50="","",D50*$B$244)</f>
        <v/>
      </c>
      <c r="G50" s="2">
        <f>IF(F50="","",ROUND(F50*$B$246,0))</f>
        <v/>
      </c>
      <c r="H50" s="3">
        <f>IF(G50="","",ROUND(G50*10/1000,0))</f>
        <v/>
      </c>
      <c r="I50" s="3">
        <f>IF(G50="","",ROUND(G50*15/1000,0))</f>
        <v/>
      </c>
      <c r="J50" s="3">
        <f>IF(G50="","",ROUND(G50*20/1000,0))</f>
        <v/>
      </c>
      <c r="K50" s="2">
        <f>IF(F50="","",ROUND(F50*0.10,0))</f>
        <v/>
      </c>
      <c r="L50" s="3">
        <f>IF(K50="","",ROUND(K50*5/1000,0))</f>
        <v/>
      </c>
      <c r="M50" s="2">
        <f>IF(F50="","",ROUND(F50*$B$247,0))</f>
        <v/>
      </c>
      <c r="N50" s="1">
        <f>IF(M50="","",ROUND(M50*$B$248,0))</f>
        <v/>
      </c>
      <c r="O50" s="1">
        <f>IF(N50="","",ROUND(N50*$B$249,0))</f>
        <v/>
      </c>
      <c r="P50" s="3">
        <f>IF(O50="","",ROUND(O50*7.30,0))</f>
        <v/>
      </c>
      <c r="Q50" s="3">
        <f>IF(L50="","",L50+P50)</f>
        <v/>
      </c>
    </row>
    <row r="51">
      <c r="A51" s="1" t="inlineStr">
        <is>
          <t>Tier 3</t>
        </is>
      </c>
      <c r="B51" s="1" t="inlineStr">
        <is>
          <t>CN</t>
        </is>
      </c>
      <c r="C51" s="2" t="n"/>
      <c r="D51" s="2" t="n"/>
      <c r="E51" s="1">
        <f>IFERROR(ROUND(C51/D51,0),"")</f>
        <v/>
      </c>
      <c r="F51" s="2">
        <f>IF(D51="","",D51*$B$244)</f>
        <v/>
      </c>
      <c r="G51" s="2">
        <f>IF(F51="","",ROUND(F51*$B$246,0))</f>
        <v/>
      </c>
      <c r="H51" s="3">
        <f>IF(G51="","",ROUND(G51*10/1000,0))</f>
        <v/>
      </c>
      <c r="I51" s="3">
        <f>IF(G51="","",ROUND(G51*15/1000,0))</f>
        <v/>
      </c>
      <c r="J51" s="3">
        <f>IF(G51="","",ROUND(G51*20/1000,0))</f>
        <v/>
      </c>
      <c r="K51" s="2">
        <f>IF(F51="","",ROUND(F51*0.10,0))</f>
        <v/>
      </c>
      <c r="L51" s="3">
        <f>IF(K51="","",ROUND(K51*5/1000,0))</f>
        <v/>
      </c>
      <c r="M51" s="2">
        <f>IF(F51="","",ROUND(F51*$B$247,0))</f>
        <v/>
      </c>
      <c r="N51" s="1">
        <f>IF(M51="","",ROUND(M51*$B$248,0))</f>
        <v/>
      </c>
      <c r="O51">
        <f>IF(N51="","",ROUND(N51*$B$249,0))</f>
        <v/>
      </c>
      <c r="P51" s="3">
        <f>IF(O51="","",ROUND(O51*7.30,0))</f>
        <v/>
      </c>
      <c r="Q51" s="3">
        <f>IF(L51="","",L51+P51)</f>
        <v/>
      </c>
    </row>
    <row r="52">
      <c r="A52" s="1" t="inlineStr">
        <is>
          <t>Tier 3</t>
        </is>
      </c>
      <c r="B52" s="1" t="inlineStr">
        <is>
          <t>AE</t>
        </is>
      </c>
      <c r="C52" s="2" t="n"/>
      <c r="D52" s="2" t="n"/>
      <c r="E52" s="1">
        <f>IFERROR(ROUND(C52/D52,0),"")</f>
        <v/>
      </c>
      <c r="F52" s="2">
        <f>IF(D52="","",D52*$B$244)</f>
        <v/>
      </c>
      <c r="G52" s="2">
        <f>IF(F52="","",ROUND(F52*$B$246,0))</f>
        <v/>
      </c>
      <c r="H52" s="3">
        <f>IF(G52="","",ROUND(G52*10/1000,0))</f>
        <v/>
      </c>
      <c r="I52" s="3">
        <f>IF(G52="","",ROUND(G52*15/1000,0))</f>
        <v/>
      </c>
      <c r="J52" s="3">
        <f>IF(G52="","",ROUND(G52*20/1000,0))</f>
        <v/>
      </c>
      <c r="K52" s="2">
        <f>IF(F52="","",ROUND(F52*0.10,0))</f>
        <v/>
      </c>
      <c r="L52" s="3">
        <f>IF(K52="","",ROUND(K52*5/1000,0))</f>
        <v/>
      </c>
      <c r="M52" s="2">
        <f>IF(F52="","",ROUND(F52*$B$247,0))</f>
        <v/>
      </c>
      <c r="N52" s="1">
        <f>IF(M52="","",ROUND(M52*$B$248,0))</f>
        <v/>
      </c>
      <c r="O52" s="1">
        <f>IF(N52="","",ROUND(N52*$B$249,0))</f>
        <v/>
      </c>
      <c r="P52" s="3">
        <f>IF(O52="","",ROUND(O52*7.30,0))</f>
        <v/>
      </c>
      <c r="Q52" s="3">
        <f>IF(L52="","",L52+P52)</f>
        <v/>
      </c>
    </row>
    <row r="53">
      <c r="A53" s="1" t="inlineStr">
        <is>
          <t>Tier 3</t>
        </is>
      </c>
      <c r="B53" s="1" t="inlineStr">
        <is>
          <t>TJ</t>
        </is>
      </c>
      <c r="C53" s="2" t="n"/>
      <c r="D53" s="2" t="n"/>
      <c r="E53" s="1">
        <f>IFERROR(ROUND(C53/D53,0),"")</f>
        <v/>
      </c>
      <c r="F53" s="2">
        <f>IF(D53="","",D53*$B$244)</f>
        <v/>
      </c>
      <c r="G53" s="2">
        <f>IF(F53="","",ROUND(F53*$B$246,0))</f>
        <v/>
      </c>
      <c r="H53" s="3">
        <f>IF(G53="","",ROUND(G53*10/1000,0))</f>
        <v/>
      </c>
      <c r="I53" s="3">
        <f>IF(G53="","",ROUND(G53*15/1000,0))</f>
        <v/>
      </c>
      <c r="J53" s="3">
        <f>IF(G53="","",ROUND(G53*20/1000,0))</f>
        <v/>
      </c>
      <c r="K53" s="2">
        <f>IF(F53="","",ROUND(F53*0.10,0))</f>
        <v/>
      </c>
      <c r="L53" s="3">
        <f>IF(K53="","",ROUND(K53*5/1000,0))</f>
        <v/>
      </c>
      <c r="M53" s="2">
        <f>IF(F53="","",ROUND(F53*$B$247,0))</f>
        <v/>
      </c>
      <c r="N53" s="1">
        <f>IF(M53="","",ROUND(M53*$B$248,0))</f>
        <v/>
      </c>
      <c r="O53" s="1">
        <f>IF(N53="","",ROUND(N53*$B$249,0))</f>
        <v/>
      </c>
      <c r="P53" s="3">
        <f>IF(O53="","",ROUND(O53*7.30,0))</f>
        <v/>
      </c>
      <c r="Q53" s="3">
        <f>IF(L53="","",L53+P53)</f>
        <v/>
      </c>
    </row>
    <row r="54">
      <c r="A54" s="1" t="inlineStr">
        <is>
          <t>Tier 3</t>
        </is>
      </c>
      <c r="B54" s="1" t="inlineStr">
        <is>
          <t>IN</t>
        </is>
      </c>
      <c r="C54" s="2" t="n"/>
      <c r="D54" s="2" t="n"/>
      <c r="E54" s="1">
        <f>IFERROR(ROUND(C54/D54,0),"")</f>
        <v/>
      </c>
      <c r="F54" s="2">
        <f>IF(D54="","",D54*$B$244)</f>
        <v/>
      </c>
      <c r="G54" s="2">
        <f>IF(F54="","",ROUND(F54*$B$246,0))</f>
        <v/>
      </c>
      <c r="H54" s="3">
        <f>IF(G54="","",ROUND(G54*10/1000,0))</f>
        <v/>
      </c>
      <c r="I54" s="3">
        <f>IF(G54="","",ROUND(G54*15/1000,0))</f>
        <v/>
      </c>
      <c r="J54" s="3">
        <f>IF(G54="","",ROUND(G54*20/1000,0))</f>
        <v/>
      </c>
      <c r="K54" s="2">
        <f>IF(F54="","",ROUND(F54*0.10,0))</f>
        <v/>
      </c>
      <c r="L54" s="3">
        <f>IF(K54="","",ROUND(K54*5/1000,0))</f>
        <v/>
      </c>
      <c r="M54" s="2">
        <f>IF(F54="","",ROUND(F54*$B$247,0))</f>
        <v/>
      </c>
      <c r="N54" s="1">
        <f>IF(M54="","",ROUND(M54*$B$248,0))</f>
        <v/>
      </c>
      <c r="O54" s="1">
        <f>IF(N54="","",ROUND(N54*$B$249,0))</f>
        <v/>
      </c>
      <c r="P54" s="3">
        <f>IF(O54="","",ROUND(O54*7.30,0))</f>
        <v/>
      </c>
      <c r="Q54" s="3">
        <f>IF(L54="","",L54+P54)</f>
        <v/>
      </c>
    </row>
    <row r="55">
      <c r="A55" s="1" t="inlineStr">
        <is>
          <t>Tier 3</t>
        </is>
      </c>
      <c r="B55" s="1" t="inlineStr">
        <is>
          <t>PH</t>
        </is>
      </c>
      <c r="C55" s="2" t="n"/>
      <c r="D55" s="2" t="n"/>
      <c r="E55" s="1">
        <f>IFERROR(ROUND(C55/D55,0),"")</f>
        <v/>
      </c>
      <c r="F55" s="2">
        <f>IF(D55="","",D55*$B$244)</f>
        <v/>
      </c>
      <c r="G55" s="2">
        <f>IF(F55="","",ROUND(F55*$B$246,0))</f>
        <v/>
      </c>
      <c r="H55" s="3">
        <f>IF(G55="","",ROUND(G55*10/1000,0))</f>
        <v/>
      </c>
      <c r="I55" s="3">
        <f>IF(G55="","",ROUND(G55*15/1000,0))</f>
        <v/>
      </c>
      <c r="J55" s="3">
        <f>IF(G55="","",ROUND(G55*20/1000,0))</f>
        <v/>
      </c>
      <c r="K55" s="2">
        <f>IF(F55="","",ROUND(F55*0.10,0))</f>
        <v/>
      </c>
      <c r="L55" s="3">
        <f>IF(K55="","",ROUND(K55*5/1000,0))</f>
        <v/>
      </c>
      <c r="M55" s="2">
        <f>IF(F55="","",ROUND(F55*$B$247,0))</f>
        <v/>
      </c>
      <c r="N55" s="1">
        <f>IF(M55="","",ROUND(M55*$B$248,0))</f>
        <v/>
      </c>
      <c r="O55" s="1">
        <f>IF(N55="","",ROUND(N55*$B$249,0))</f>
        <v/>
      </c>
      <c r="P55" s="3">
        <f>IF(O55="","",ROUND(O55*7.30,0))</f>
        <v/>
      </c>
      <c r="Q55" s="3">
        <f>IF(L55="","",L55+P55)</f>
        <v/>
      </c>
    </row>
    <row r="56">
      <c r="A56" s="1" t="inlineStr">
        <is>
          <t>Tier 3</t>
        </is>
      </c>
      <c r="B56" s="1" t="inlineStr">
        <is>
          <t>MY</t>
        </is>
      </c>
      <c r="C56" s="2" t="n"/>
      <c r="D56" s="2" t="n"/>
      <c r="E56" s="1">
        <f>IFERROR(ROUND(C56/D56,0),"")</f>
        <v/>
      </c>
      <c r="F56" s="2">
        <f>IF(D56="","",D56*$B$244)</f>
        <v/>
      </c>
      <c r="G56" s="2">
        <f>IF(F56="","",ROUND(F56*$B$246,0))</f>
        <v/>
      </c>
      <c r="H56" s="3">
        <f>IF(G56="","",ROUND(G56*10/1000,0))</f>
        <v/>
      </c>
      <c r="I56" s="3">
        <f>IF(G56="","",ROUND(G56*15/1000,0))</f>
        <v/>
      </c>
      <c r="J56" s="3">
        <f>IF(G56="","",ROUND(G56*20/1000,0))</f>
        <v/>
      </c>
      <c r="K56" s="2">
        <f>IF(F56="","",ROUND(F56*0.10,0))</f>
        <v/>
      </c>
      <c r="L56" s="3">
        <f>IF(K56="","",ROUND(K56*5/1000,0))</f>
        <v/>
      </c>
      <c r="M56" s="2">
        <f>IF(F56="","",ROUND(F56*$B$247,0))</f>
        <v/>
      </c>
      <c r="N56" s="1">
        <f>IF(M56="","",ROUND(M56*$B$248,0))</f>
        <v/>
      </c>
      <c r="O56" s="1">
        <f>IF(N56="","",ROUND(N56*$B$249,0))</f>
        <v/>
      </c>
      <c r="P56" s="3">
        <f>IF(O56="","",ROUND(O56*7.30,0))</f>
        <v/>
      </c>
      <c r="Q56" s="3">
        <f>IF(L56="","",L56+P56)</f>
        <v/>
      </c>
    </row>
    <row r="57">
      <c r="A57" s="1" t="inlineStr">
        <is>
          <t>Tier 3</t>
        </is>
      </c>
      <c r="B57" s="1" t="inlineStr">
        <is>
          <t>GR</t>
        </is>
      </c>
      <c r="C57" s="2" t="n"/>
      <c r="D57" s="2" t="n"/>
      <c r="E57" s="1">
        <f>IFERROR(ROUND(C57/D57,0),"")</f>
        <v/>
      </c>
      <c r="F57" s="2">
        <f>IF(D57="","",D57*$B$244)</f>
        <v/>
      </c>
      <c r="G57" s="2">
        <f>IF(F57="","",ROUND(F57*$B$246,0))</f>
        <v/>
      </c>
      <c r="H57" s="3">
        <f>IF(G57="","",ROUND(G57*10/1000,0))</f>
        <v/>
      </c>
      <c r="I57" s="3">
        <f>IF(G57="","",ROUND(G57*15/1000,0))</f>
        <v/>
      </c>
      <c r="J57" s="3">
        <f>IF(G57="","",ROUND(G57*20/1000,0))</f>
        <v/>
      </c>
      <c r="K57" s="2">
        <f>IF(F57="","",ROUND(F57*0.10,0))</f>
        <v/>
      </c>
      <c r="L57" s="3">
        <f>IF(K57="","",ROUND(K57*5/1000,0))</f>
        <v/>
      </c>
      <c r="M57" s="2">
        <f>IF(F57="","",ROUND(F57*$B$247,0))</f>
        <v/>
      </c>
      <c r="N57" s="1">
        <f>IF(M57="","",ROUND(M57*$B$248,0))</f>
        <v/>
      </c>
      <c r="O57" s="1">
        <f>IF(N57="","",ROUND(N57*$B$249,0))</f>
        <v/>
      </c>
      <c r="P57" s="3">
        <f>IF(O57="","",ROUND(O57*7.30,0))</f>
        <v/>
      </c>
      <c r="Q57" s="3">
        <f>IF(L57="","",L57+P57)</f>
        <v/>
      </c>
    </row>
    <row r="58">
      <c r="A58" s="1" t="inlineStr">
        <is>
          <t>Tier 3</t>
        </is>
      </c>
      <c r="B58" s="1" t="inlineStr">
        <is>
          <t>AZ</t>
        </is>
      </c>
      <c r="C58" s="2" t="n"/>
      <c r="D58" s="2" t="n"/>
      <c r="E58" s="1">
        <f>IFERROR(ROUND(C58/D58,0),"")</f>
        <v/>
      </c>
      <c r="F58" s="2">
        <f>IF(D58="","",D58*$B$244)</f>
        <v/>
      </c>
      <c r="G58" s="2">
        <f>IF(F58="","",ROUND(F58*$B$246,0))</f>
        <v/>
      </c>
      <c r="H58" s="3">
        <f>IF(G58="","",ROUND(G58*10/1000,0))</f>
        <v/>
      </c>
      <c r="I58" s="3">
        <f>IF(G58="","",ROUND(G58*15/1000,0))</f>
        <v/>
      </c>
      <c r="J58" s="3">
        <f>IF(G58="","",ROUND(G58*20/1000,0))</f>
        <v/>
      </c>
      <c r="K58" s="2">
        <f>IF(F58="","",ROUND(F58*0.10,0))</f>
        <v/>
      </c>
      <c r="L58" s="3">
        <f>IF(K58="","",ROUND(K58*5/1000,0))</f>
        <v/>
      </c>
      <c r="M58" s="2">
        <f>IF(F58="","",ROUND(F58*$B$247,0))</f>
        <v/>
      </c>
      <c r="N58" s="1">
        <f>IF(M58="","",ROUND(M58*$B$248,0))</f>
        <v/>
      </c>
      <c r="O58" s="1">
        <f>IF(N58="","",ROUND(N58*$B$249,0))</f>
        <v/>
      </c>
      <c r="P58" s="3">
        <f>IF(O58="","",ROUND(O58*7.30,0))</f>
        <v/>
      </c>
      <c r="Q58" s="3">
        <f>IF(L58="","",L58+P58)</f>
        <v/>
      </c>
    </row>
    <row r="59">
      <c r="A59" s="1" t="inlineStr">
        <is>
          <t>Tier 3</t>
        </is>
      </c>
      <c r="B59" s="1" t="inlineStr">
        <is>
          <t>CL</t>
        </is>
      </c>
      <c r="C59" s="2" t="n"/>
      <c r="D59" s="2" t="n"/>
      <c r="E59" s="1">
        <f>IFERROR(ROUND(C59/D59,0),"")</f>
        <v/>
      </c>
      <c r="F59" s="2">
        <f>IF(D59="","",D59*$B$244)</f>
        <v/>
      </c>
      <c r="G59" s="2">
        <f>IF(F59="","",ROUND(F59*$B$246,0))</f>
        <v/>
      </c>
      <c r="H59" s="3">
        <f>IF(G59="","",ROUND(G59*10/1000,0))</f>
        <v/>
      </c>
      <c r="I59" s="3">
        <f>IF(G59="","",ROUND(G59*15/1000,0))</f>
        <v/>
      </c>
      <c r="J59" s="3">
        <f>IF(G59="","",ROUND(G59*20/1000,0))</f>
        <v/>
      </c>
      <c r="K59" s="2">
        <f>IF(F59="","",ROUND(F59*0.10,0))</f>
        <v/>
      </c>
      <c r="L59" s="3">
        <f>IF(K59="","",ROUND(K59*5/1000,0))</f>
        <v/>
      </c>
      <c r="M59" s="2">
        <f>IF(F59="","",ROUND(F59*$B$247,0))</f>
        <v/>
      </c>
      <c r="N59" s="1">
        <f>IF(M59="","",ROUND(M59*$B$248,0))</f>
        <v/>
      </c>
      <c r="O59" s="1">
        <f>IF(N59="","",ROUND(N59*$B$249,0))</f>
        <v/>
      </c>
      <c r="P59" s="3">
        <f>IF(O59="","",ROUND(O59*7.30,0))</f>
        <v/>
      </c>
      <c r="Q59" s="3">
        <f>IF(L59="","",L59+P59)</f>
        <v/>
      </c>
    </row>
    <row r="60">
      <c r="A60" s="1" t="inlineStr">
        <is>
          <t>Tier 3</t>
        </is>
      </c>
      <c r="B60" s="1" t="inlineStr">
        <is>
          <t>TW</t>
        </is>
      </c>
      <c r="C60" s="2" t="n"/>
      <c r="D60" s="2" t="n"/>
      <c r="E60" s="1">
        <f>IFERROR(ROUND(C60/D60,0),"")</f>
        <v/>
      </c>
      <c r="F60" s="2">
        <f>IF(D60="","",D60*$B$244)</f>
        <v/>
      </c>
      <c r="G60" s="2">
        <f>IF(F60="","",ROUND(F60*$B$246,0))</f>
        <v/>
      </c>
      <c r="H60" s="3">
        <f>IF(G60="","",ROUND(G60*10/1000,0))</f>
        <v/>
      </c>
      <c r="I60" s="3">
        <f>IF(G60="","",ROUND(G60*15/1000,0))</f>
        <v/>
      </c>
      <c r="J60" s="3">
        <f>IF(G60="","",ROUND(G60*20/1000,0))</f>
        <v/>
      </c>
      <c r="K60" s="2">
        <f>IF(F60="","",ROUND(F60*0.10,0))</f>
        <v/>
      </c>
      <c r="L60" s="3">
        <f>IF(K60="","",ROUND(K60*5/1000,0))</f>
        <v/>
      </c>
      <c r="M60" s="2">
        <f>IF(F60="","",ROUND(F60*$B$247,0))</f>
        <v/>
      </c>
      <c r="N60" s="1">
        <f>IF(M60="","",ROUND(M60*$B$248,0))</f>
        <v/>
      </c>
      <c r="O60" s="1">
        <f>IF(N60="","",ROUND(N60*$B$249,0))</f>
        <v/>
      </c>
      <c r="P60" s="3">
        <f>IF(O60="","",ROUND(O60*7.30,0))</f>
        <v/>
      </c>
      <c r="Q60" s="3">
        <f>IF(L60="","",L60+P60)</f>
        <v/>
      </c>
    </row>
    <row r="61">
      <c r="A61" s="1" t="inlineStr">
        <is>
          <t>Tier 3</t>
        </is>
      </c>
      <c r="B61" s="1" t="inlineStr">
        <is>
          <t>TH</t>
        </is>
      </c>
      <c r="C61" s="2" t="n"/>
      <c r="D61" s="2" t="n"/>
      <c r="E61" s="1">
        <f>IFERROR(ROUND(C61/D61,0),"")</f>
        <v/>
      </c>
      <c r="F61" s="2">
        <f>IF(D61="","",D61*$B$244)</f>
        <v/>
      </c>
      <c r="G61" s="2">
        <f>IF(F61="","",ROUND(F61*$B$246,0))</f>
        <v/>
      </c>
      <c r="H61" s="3">
        <f>IF(G61="","",ROUND(G61*10/1000,0))</f>
        <v/>
      </c>
      <c r="I61" s="3">
        <f>IF(G61="","",ROUND(G61*15/1000,0))</f>
        <v/>
      </c>
      <c r="J61" s="3">
        <f>IF(G61="","",ROUND(G61*20/1000,0))</f>
        <v/>
      </c>
      <c r="K61" s="2">
        <f>IF(F61="","",ROUND(F61*0.10,0))</f>
        <v/>
      </c>
      <c r="L61" s="3">
        <f>IF(K61="","",ROUND(K61*5/1000,0))</f>
        <v/>
      </c>
      <c r="M61" s="2">
        <f>IF(F61="","",ROUND(F61*$B$247,0))</f>
        <v/>
      </c>
      <c r="N61" s="1">
        <f>IF(M61="","",ROUND(M61*$B$248,0))</f>
        <v/>
      </c>
      <c r="O61" s="1">
        <f>IF(N61="","",ROUND(N61*$B$249,0))</f>
        <v/>
      </c>
      <c r="P61" s="3">
        <f>IF(O61="","",ROUND(O61*7.30,0))</f>
        <v/>
      </c>
      <c r="Q61" s="3">
        <f>IF(L61="","",L61+P61)</f>
        <v/>
      </c>
    </row>
    <row r="62">
      <c r="A62" s="1" t="inlineStr">
        <is>
          <t>Tier 3</t>
        </is>
      </c>
      <c r="B62" s="1" t="inlineStr">
        <is>
          <t>ID</t>
        </is>
      </c>
      <c r="C62" s="2" t="n"/>
      <c r="D62" s="2" t="n"/>
      <c r="E62" s="1">
        <f>IFERROR(ROUND(C62/D62,0),"")</f>
        <v/>
      </c>
      <c r="F62" s="2">
        <f>IF(D62="","",D62*$B$244)</f>
        <v/>
      </c>
      <c r="G62" s="2">
        <f>IF(F62="","",ROUND(F62*$B$246,0))</f>
        <v/>
      </c>
      <c r="H62" s="3">
        <f>IF(G62="","",ROUND(G62*10/1000,0))</f>
        <v/>
      </c>
      <c r="I62" s="3">
        <f>IF(G62="","",ROUND(G62*15/1000,0))</f>
        <v/>
      </c>
      <c r="J62" s="3">
        <f>IF(G62="","",ROUND(G62*20/1000,0))</f>
        <v/>
      </c>
      <c r="K62" s="2">
        <f>IF(F62="","",ROUND(F62*0.10,0))</f>
        <v/>
      </c>
      <c r="L62" s="3">
        <f>IF(K62="","",ROUND(K62*5/1000,0))</f>
        <v/>
      </c>
      <c r="M62" s="2">
        <f>IF(F62="","",ROUND(F62*$B$247,0))</f>
        <v/>
      </c>
      <c r="N62" s="1">
        <f>IF(M62="","",ROUND(M62*$B$248,0))</f>
        <v/>
      </c>
      <c r="O62" s="1">
        <f>IF(N62="","",ROUND(N62*$B$249,0))</f>
        <v/>
      </c>
      <c r="P62" s="3">
        <f>IF(O62="","",ROUND(O62*7.30,0))</f>
        <v/>
      </c>
      <c r="Q62" s="3">
        <f>IF(L62="","",L62+P62)</f>
        <v/>
      </c>
    </row>
    <row r="63">
      <c r="A63" s="1" t="inlineStr">
        <is>
          <t>Tier 3</t>
        </is>
      </c>
      <c r="B63" s="1" t="inlineStr">
        <is>
          <t>KR</t>
        </is>
      </c>
      <c r="C63" s="2" t="n"/>
      <c r="D63" s="2" t="n"/>
      <c r="E63" s="1">
        <f>IFERROR(ROUND(C63/D63,0),"")</f>
        <v/>
      </c>
      <c r="F63" s="2">
        <f>IF(D63="","",D63*$B$244)</f>
        <v/>
      </c>
      <c r="G63" s="2">
        <f>IF(F63="","",ROUND(F63*$B$246,0))</f>
        <v/>
      </c>
      <c r="H63" s="3">
        <f>IF(G63="","",ROUND(G63*10/1000,0))</f>
        <v/>
      </c>
      <c r="I63" s="3">
        <f>IF(G63="","",ROUND(G63*15/1000,0))</f>
        <v/>
      </c>
      <c r="J63" s="3">
        <f>IF(G63="","",ROUND(G63*20/1000,0))</f>
        <v/>
      </c>
      <c r="K63" s="2">
        <f>IF(F63="","",ROUND(F63*0.10,0))</f>
        <v/>
      </c>
      <c r="L63" s="3">
        <f>IF(K63="","",ROUND(K63*5/1000,0))</f>
        <v/>
      </c>
      <c r="M63" s="2">
        <f>IF(F63="","",ROUND(F63*$B$247,0))</f>
        <v/>
      </c>
      <c r="N63" s="1">
        <f>IF(M63="","",ROUND(M63*$B$248,0))</f>
        <v/>
      </c>
      <c r="O63" s="1">
        <f>IF(N63="","",ROUND(N63*$B$249,0))</f>
        <v/>
      </c>
      <c r="P63" s="3">
        <f>IF(O63="","",ROUND(O63*7.30,0))</f>
        <v/>
      </c>
      <c r="Q63" s="3">
        <f>IF(L63="","",L63+P63)</f>
        <v/>
      </c>
    </row>
    <row r="64">
      <c r="A64" s="1" t="inlineStr">
        <is>
          <t>Tier 3</t>
        </is>
      </c>
      <c r="B64" s="1" t="inlineStr">
        <is>
          <t>DZ</t>
        </is>
      </c>
      <c r="C64" s="2" t="n"/>
      <c r="D64" s="2" t="n"/>
      <c r="E64" s="1">
        <f>IFERROR(ROUND(C64/D64,0),"")</f>
        <v/>
      </c>
      <c r="F64" s="2">
        <f>IF(D64="","",D64*$B$244)</f>
        <v/>
      </c>
      <c r="G64" s="2">
        <f>IF(F64="","",ROUND(F64*$B$246,0))</f>
        <v/>
      </c>
      <c r="H64" s="3">
        <f>IF(G64="","",ROUND(G64*10/1000,0))</f>
        <v/>
      </c>
      <c r="I64" s="3">
        <f>IF(G64="","",ROUND(G64*15/1000,0))</f>
        <v/>
      </c>
      <c r="J64" s="3">
        <f>IF(G64="","",ROUND(G64*20/1000,0))</f>
        <v/>
      </c>
      <c r="K64" s="2">
        <f>IF(F64="","",ROUND(F64*0.10,0))</f>
        <v/>
      </c>
      <c r="L64" s="3">
        <f>IF(K64="","",ROUND(K64*5/1000,0))</f>
        <v/>
      </c>
      <c r="M64" s="2">
        <f>IF(F64="","",ROUND(F64*$B$247,0))</f>
        <v/>
      </c>
      <c r="N64" s="1">
        <f>IF(M64="","",ROUND(M64*$B$248,0))</f>
        <v/>
      </c>
      <c r="O64" s="1">
        <f>IF(N64="","",ROUND(N64*$B$249,0))</f>
        <v/>
      </c>
      <c r="P64" s="3">
        <f>IF(O64="","",ROUND(O64*7.30,0))</f>
        <v/>
      </c>
      <c r="Q64" s="3">
        <f>IF(L64="","",L64+P64)</f>
        <v/>
      </c>
    </row>
    <row r="65">
      <c r="A65" s="1" t="inlineStr">
        <is>
          <t>Tier 3</t>
        </is>
      </c>
      <c r="B65" s="1" t="inlineStr">
        <is>
          <t>IE</t>
        </is>
      </c>
      <c r="C65" s="2" t="n"/>
      <c r="D65" s="2" t="n"/>
      <c r="E65" s="1">
        <f>IFERROR(ROUND(C65/D65,0),"")</f>
        <v/>
      </c>
      <c r="F65" s="2">
        <f>IF(D65="","",D65*$B$244)</f>
        <v/>
      </c>
      <c r="G65" s="2">
        <f>IF(F65="","",ROUND(F65*$B$246,0))</f>
        <v/>
      </c>
      <c r="H65" s="3">
        <f>IF(G65="","",ROUND(G65*10/1000,0))</f>
        <v/>
      </c>
      <c r="I65" s="3">
        <f>IF(G65="","",ROUND(G65*15/1000,0))</f>
        <v/>
      </c>
      <c r="J65" s="3">
        <f>IF(G65="","",ROUND(G65*20/1000,0))</f>
        <v/>
      </c>
      <c r="K65" s="2">
        <f>IF(F65="","",ROUND(F65*0.10,0))</f>
        <v/>
      </c>
      <c r="L65" s="3">
        <f>IF(K65="","",ROUND(K65*5/1000,0))</f>
        <v/>
      </c>
      <c r="M65" s="2">
        <f>IF(F65="","",ROUND(F65*$B$247,0))</f>
        <v/>
      </c>
      <c r="N65" s="1">
        <f>IF(M65="","",ROUND(M65*$B$248,0))</f>
        <v/>
      </c>
      <c r="O65" s="1">
        <f>IF(N65="","",ROUND(N65*$B$249,0))</f>
        <v/>
      </c>
      <c r="P65" s="3">
        <f>IF(O65="","",ROUND(O65*7.30,0))</f>
        <v/>
      </c>
      <c r="Q65" s="3">
        <f>IF(L65="","",L65+P65)</f>
        <v/>
      </c>
    </row>
    <row r="66">
      <c r="A66" s="1" t="inlineStr">
        <is>
          <t>Tier 3</t>
        </is>
      </c>
      <c r="B66" s="1" t="inlineStr">
        <is>
          <t>LB</t>
        </is>
      </c>
      <c r="C66" s="2" t="n"/>
      <c r="D66" s="2" t="n"/>
      <c r="E66" s="1">
        <f>IFERROR(ROUND(C66/D66,0),"")</f>
        <v/>
      </c>
      <c r="F66" s="2">
        <f>IF(D66="","",D66*$B$244)</f>
        <v/>
      </c>
      <c r="G66" s="2">
        <f>IF(F66="","",ROUND(F66*$B$246,0))</f>
        <v/>
      </c>
      <c r="H66" s="3">
        <f>IF(G66="","",ROUND(G66*10/1000,0))</f>
        <v/>
      </c>
      <c r="I66" s="3">
        <f>IF(G66="","",ROUND(G66*15/1000,0))</f>
        <v/>
      </c>
      <c r="J66" s="3">
        <f>IF(G66="","",ROUND(G66*20/1000,0))</f>
        <v/>
      </c>
      <c r="K66" s="2">
        <f>IF(F66="","",ROUND(F66*0.10,0))</f>
        <v/>
      </c>
      <c r="L66" s="3">
        <f>IF(K66="","",ROUND(K66*5/1000,0))</f>
        <v/>
      </c>
      <c r="M66" s="2">
        <f>IF(F66="","",ROUND(F66*$B$247,0))</f>
        <v/>
      </c>
      <c r="N66" s="1">
        <f>IF(M66="","",ROUND(M66*$B$248,0))</f>
        <v/>
      </c>
      <c r="O66" s="1">
        <f>IF(N66="","",ROUND(N66*$B$249,0))</f>
        <v/>
      </c>
      <c r="P66" s="3">
        <f>IF(O66="","",ROUND(O66*7.30,0))</f>
        <v/>
      </c>
      <c r="Q66" s="3">
        <f>IF(L66="","",L66+P66)</f>
        <v/>
      </c>
    </row>
    <row r="67">
      <c r="A67" s="1" t="inlineStr">
        <is>
          <t>Tier 3</t>
        </is>
      </c>
      <c r="B67" s="1" t="inlineStr">
        <is>
          <t>SI</t>
        </is>
      </c>
      <c r="C67" s="2" t="n"/>
      <c r="D67" s="2" t="n"/>
      <c r="E67" s="1">
        <f>IFERROR(ROUND(C67/D67,0),"")</f>
        <v/>
      </c>
      <c r="F67" s="2">
        <f>IF(D67="","",D67*$B$244)</f>
        <v/>
      </c>
      <c r="G67" s="2">
        <f>IF(F67="","",ROUND(F67*$B$246,0))</f>
        <v/>
      </c>
      <c r="H67" s="3">
        <f>IF(G67="","",ROUND(G67*10/1000,0))</f>
        <v/>
      </c>
      <c r="I67" s="3">
        <f>IF(G67="","",ROUND(G67*15/1000,0))</f>
        <v/>
      </c>
      <c r="J67" s="3">
        <f>IF(G67="","",ROUND(G67*20/1000,0))</f>
        <v/>
      </c>
      <c r="K67" s="2">
        <f>IF(F67="","",ROUND(F67*0.10,0))</f>
        <v/>
      </c>
      <c r="L67" s="3">
        <f>IF(K67="","",ROUND(K67*5/1000,0))</f>
        <v/>
      </c>
      <c r="M67" s="2">
        <f>IF(F67="","",ROUND(F67*$B$247,0))</f>
        <v/>
      </c>
      <c r="N67" s="1">
        <f>IF(M67="","",ROUND(M67*$B$248,0))</f>
        <v/>
      </c>
      <c r="O67" s="1">
        <f>IF(N67="","",ROUND(N67*$B$249,0))</f>
        <v/>
      </c>
      <c r="P67" s="3">
        <f>IF(O67="","",ROUND(O67*7.30,0))</f>
        <v/>
      </c>
      <c r="Q67" s="3">
        <f>IF(L67="","",L67+P67)</f>
        <v/>
      </c>
    </row>
    <row r="68">
      <c r="A68" s="1" t="inlineStr">
        <is>
          <t>Tier 3</t>
        </is>
      </c>
      <c r="B68" s="1" t="inlineStr">
        <is>
          <t>JO</t>
        </is>
      </c>
      <c r="C68" s="2" t="n"/>
      <c r="D68" s="2" t="n"/>
      <c r="E68" s="1">
        <f>IFERROR(ROUND(C68/D68,0),"")</f>
        <v/>
      </c>
      <c r="F68" s="2">
        <f>IF(D68="","",D68*$B$244)</f>
        <v/>
      </c>
      <c r="G68" s="2">
        <f>IF(F68="","",ROUND(F68*$B$246,0))</f>
        <v/>
      </c>
      <c r="H68" s="3">
        <f>IF(G68="","",ROUND(G68*10/1000,0))</f>
        <v/>
      </c>
      <c r="I68" s="3">
        <f>IF(G68="","",ROUND(G68*15/1000,0))</f>
        <v/>
      </c>
      <c r="J68" s="3">
        <f>IF(G68="","",ROUND(G68*20/1000,0))</f>
        <v/>
      </c>
      <c r="K68" s="2">
        <f>IF(F68="","",ROUND(F68*0.10,0))</f>
        <v/>
      </c>
      <c r="L68" s="3">
        <f>IF(K68="","",ROUND(K68*5/1000,0))</f>
        <v/>
      </c>
      <c r="M68" s="2">
        <f>IF(F68="","",ROUND(F68*$B$247,0))</f>
        <v/>
      </c>
      <c r="N68" s="1">
        <f>IF(M68="","",ROUND(M68*$B$248,0))</f>
        <v/>
      </c>
      <c r="O68" s="1">
        <f>IF(N68="","",ROUND(N68*$B$249,0))</f>
        <v/>
      </c>
      <c r="P68" s="3">
        <f>IF(O68="","",ROUND(O68*7.30,0))</f>
        <v/>
      </c>
      <c r="Q68" s="3">
        <f>IF(L68="","",L68+P68)</f>
        <v/>
      </c>
    </row>
    <row r="69">
      <c r="A69" s="1" t="inlineStr">
        <is>
          <t>Tier 3</t>
        </is>
      </c>
      <c r="B69" s="1" t="inlineStr">
        <is>
          <t>PE</t>
        </is>
      </c>
      <c r="C69" s="2" t="n"/>
      <c r="D69" s="2" t="n"/>
      <c r="E69" s="1">
        <f>IFERROR(ROUND(C69/D69,0),"")</f>
        <v/>
      </c>
      <c r="F69" s="2">
        <f>IF(D69="","",D69*$B$244)</f>
        <v/>
      </c>
      <c r="G69" s="2">
        <f>IF(F69="","",ROUND(F69*$B$246,0))</f>
        <v/>
      </c>
      <c r="H69" s="3">
        <f>IF(G69="","",ROUND(G69*10/1000,0))</f>
        <v/>
      </c>
      <c r="I69" s="3">
        <f>IF(G69="","",ROUND(G69*15/1000,0))</f>
        <v/>
      </c>
      <c r="J69" s="3">
        <f>IF(G69="","",ROUND(G69*20/1000,0))</f>
        <v/>
      </c>
      <c r="K69" s="2">
        <f>IF(F69="","",ROUND(F69*0.10,0))</f>
        <v/>
      </c>
      <c r="L69" s="3">
        <f>IF(K69="","",ROUND(K69*5/1000,0))</f>
        <v/>
      </c>
      <c r="M69" s="2">
        <f>IF(F69="","",ROUND(F69*$B$247,0))</f>
        <v/>
      </c>
      <c r="N69" s="1">
        <f>IF(M69="","",ROUND(M69*$B$248,0))</f>
        <v/>
      </c>
      <c r="O69" s="1">
        <f>IF(N69="","",ROUND(N69*$B$249,0))</f>
        <v/>
      </c>
      <c r="P69" s="3">
        <f>IF(O69="","",ROUND(O69*7.30,0))</f>
        <v/>
      </c>
      <c r="Q69" s="3">
        <f>IF(L69="","",L69+P69)</f>
        <v/>
      </c>
    </row>
    <row r="70">
      <c r="A70" s="1" t="inlineStr">
        <is>
          <t>Tier 3</t>
        </is>
      </c>
      <c r="B70" s="1" t="inlineStr">
        <is>
          <t>JP</t>
        </is>
      </c>
      <c r="C70" s="2" t="n"/>
      <c r="D70" s="2" t="n"/>
      <c r="E70" s="1">
        <f>IFERROR(ROUND(C70/D70,0),"")</f>
        <v/>
      </c>
      <c r="F70" s="2">
        <f>IF(D70="","",D70*$B$244)</f>
        <v/>
      </c>
      <c r="G70" s="2">
        <f>IF(F70="","",ROUND(F70*$B$246,0))</f>
        <v/>
      </c>
      <c r="H70" s="3">
        <f>IF(G70="","",ROUND(G70*10/1000,0))</f>
        <v/>
      </c>
      <c r="I70" s="3">
        <f>IF(G70="","",ROUND(G70*15/1000,0))</f>
        <v/>
      </c>
      <c r="J70" s="3">
        <f>IF(G70="","",ROUND(G70*20/1000,0))</f>
        <v/>
      </c>
      <c r="K70" s="2">
        <f>IF(F70="","",ROUND(F70*0.10,0))</f>
        <v/>
      </c>
      <c r="L70" s="3">
        <f>IF(K70="","",ROUND(K70*5/1000,0))</f>
        <v/>
      </c>
      <c r="M70" s="2">
        <f>IF(F70="","",ROUND(F70*$B$247,0))</f>
        <v/>
      </c>
      <c r="N70" s="1">
        <f>IF(M70="","",ROUND(M70*$B$248,0))</f>
        <v/>
      </c>
      <c r="O70" s="1">
        <f>IF(N70="","",ROUND(N70*$B$249,0))</f>
        <v/>
      </c>
      <c r="P70" s="3">
        <f>IF(O70="","",ROUND(O70*7.30,0))</f>
        <v/>
      </c>
      <c r="Q70" s="3">
        <f>IF(L70="","",L70+P70)</f>
        <v/>
      </c>
    </row>
    <row r="71">
      <c r="A71" s="1" t="inlineStr">
        <is>
          <t>Tier 3</t>
        </is>
      </c>
      <c r="B71" s="1" t="inlineStr">
        <is>
          <t>ME</t>
        </is>
      </c>
      <c r="C71" s="2" t="n"/>
      <c r="D71" s="2" t="n"/>
      <c r="E71" s="1">
        <f>IFERROR(ROUND(C71/D71,0),"")</f>
        <v/>
      </c>
      <c r="F71" s="2">
        <f>IF(D71="","",D71*$B$244)</f>
        <v/>
      </c>
      <c r="G71" s="2">
        <f>IF(F71="","",ROUND(F71*$B$246,0))</f>
        <v/>
      </c>
      <c r="H71" s="3">
        <f>IF(G71="","",ROUND(G71*10/1000,0))</f>
        <v/>
      </c>
      <c r="I71" s="3">
        <f>IF(G71="","",ROUND(G71*15/1000,0))</f>
        <v/>
      </c>
      <c r="J71" s="3">
        <f>IF(G71="","",ROUND(G71*20/1000,0))</f>
        <v/>
      </c>
      <c r="K71" s="2">
        <f>IF(F71="","",ROUND(F71*0.10,0))</f>
        <v/>
      </c>
      <c r="L71" s="3">
        <f>IF(K71="","",ROUND(K71*5/1000,0))</f>
        <v/>
      </c>
      <c r="M71" s="2">
        <f>IF(F71="","",ROUND(F71*$B$247,0))</f>
        <v/>
      </c>
      <c r="N71" s="1">
        <f>IF(M71="","",ROUND(M71*$B$248,0))</f>
        <v/>
      </c>
      <c r="O71" s="1">
        <f>IF(N71="","",ROUND(N71*$B$249,0))</f>
        <v/>
      </c>
      <c r="P71" s="3">
        <f>IF(O71="","",ROUND(O71*7.30,0))</f>
        <v/>
      </c>
      <c r="Q71" s="3">
        <f>IF(L71="","",L71+P71)</f>
        <v/>
      </c>
    </row>
    <row r="72">
      <c r="A72" s="1" t="inlineStr">
        <is>
          <t>Tier 3</t>
        </is>
      </c>
      <c r="B72" s="1" t="inlineStr">
        <is>
          <t>AM</t>
        </is>
      </c>
      <c r="C72" s="2" t="n"/>
      <c r="D72" s="2" t="n"/>
      <c r="E72" s="1">
        <f>IFERROR(ROUND(C72/D72,0),"")</f>
        <v/>
      </c>
      <c r="F72" s="2">
        <f>IF(D72="","",D72*$B$244)</f>
        <v/>
      </c>
      <c r="G72" s="2">
        <f>IF(F72="","",ROUND(F72*$B$246,0))</f>
        <v/>
      </c>
      <c r="H72" s="3">
        <f>IF(G72="","",ROUND(G72*10/1000,0))</f>
        <v/>
      </c>
      <c r="I72" s="3">
        <f>IF(G72="","",ROUND(G72*15/1000,0))</f>
        <v/>
      </c>
      <c r="J72" s="3">
        <f>IF(G72="","",ROUND(G72*20/1000,0))</f>
        <v/>
      </c>
      <c r="K72" s="2">
        <f>IF(F72="","",ROUND(F72*0.10,0))</f>
        <v/>
      </c>
      <c r="L72" s="3">
        <f>IF(K72="","",ROUND(K72*5/1000,0))</f>
        <v/>
      </c>
      <c r="M72" s="2">
        <f>IF(F72="","",ROUND(F72*$B$247,0))</f>
        <v/>
      </c>
      <c r="N72" s="1">
        <f>IF(M72="","",ROUND(M72*$B$248,0))</f>
        <v/>
      </c>
      <c r="O72" s="1">
        <f>IF(N72="","",ROUND(N72*$B$249,0))</f>
        <v/>
      </c>
      <c r="P72" s="3">
        <f>IF(O72="","",ROUND(O72*7.30,0))</f>
        <v/>
      </c>
      <c r="Q72" s="3">
        <f>IF(L72="","",L72+P72)</f>
        <v/>
      </c>
    </row>
    <row r="73">
      <c r="A73" s="1" t="inlineStr">
        <is>
          <t>Tier 3</t>
        </is>
      </c>
      <c r="B73" s="1" t="inlineStr">
        <is>
          <t>PS</t>
        </is>
      </c>
      <c r="C73" s="2" t="n"/>
      <c r="D73" s="2" t="n"/>
      <c r="E73" s="1">
        <f>IFERROR(ROUND(C73/D73,0),"")</f>
        <v/>
      </c>
      <c r="F73" s="2">
        <f>IF(D73="","",D73*$B$244)</f>
        <v/>
      </c>
      <c r="G73" s="2">
        <f>IF(F73="","",ROUND(F73*$B$246,0))</f>
        <v/>
      </c>
      <c r="H73" s="3">
        <f>IF(G73="","",ROUND(G73*10/1000,0))</f>
        <v/>
      </c>
      <c r="I73" s="3">
        <f>IF(G73="","",ROUND(G73*15/1000,0))</f>
        <v/>
      </c>
      <c r="J73" s="3">
        <f>IF(G73="","",ROUND(G73*20/1000,0))</f>
        <v/>
      </c>
      <c r="K73" s="2">
        <f>IF(F73="","",ROUND(F73*0.10,0))</f>
        <v/>
      </c>
      <c r="L73" s="3">
        <f>IF(K73="","",ROUND(K73*5/1000,0))</f>
        <v/>
      </c>
      <c r="M73" s="2">
        <f>IF(F73="","",ROUND(F73*$B$247,0))</f>
        <v/>
      </c>
      <c r="N73" s="1">
        <f>IF(M73="","",ROUND(M73*$B$248,0))</f>
        <v/>
      </c>
      <c r="O73" s="1">
        <f>IF(N73="","",ROUND(N73*$B$249,0))</f>
        <v/>
      </c>
      <c r="P73" s="3">
        <f>IF(O73="","",ROUND(O73*7.30,0))</f>
        <v/>
      </c>
      <c r="Q73" s="3">
        <f>IF(L73="","",L73+P73)</f>
        <v/>
      </c>
    </row>
    <row r="74">
      <c r="A74" s="1" t="inlineStr">
        <is>
          <t>Tier 3</t>
        </is>
      </c>
      <c r="B74" s="1" t="inlineStr">
        <is>
          <t>UY</t>
        </is>
      </c>
      <c r="C74" s="2" t="n"/>
      <c r="D74" s="2" t="n"/>
      <c r="E74" s="1">
        <f>IFERROR(ROUND(C74/D74,0),"")</f>
        <v/>
      </c>
      <c r="F74" s="2">
        <f>IF(D74="","",D74*$B$244)</f>
        <v/>
      </c>
      <c r="G74" s="2">
        <f>IF(F74="","",ROUND(F74*$B$246,0))</f>
        <v/>
      </c>
      <c r="H74" s="3">
        <f>IF(G74="","",ROUND(G74*10/1000,0))</f>
        <v/>
      </c>
      <c r="I74" s="3">
        <f>IF(G74="","",ROUND(G74*15/1000,0))</f>
        <v/>
      </c>
      <c r="J74" s="3">
        <f>IF(G74="","",ROUND(G74*20/1000,0))</f>
        <v/>
      </c>
      <c r="K74" s="2">
        <f>IF(F74="","",ROUND(F74*0.10,0))</f>
        <v/>
      </c>
      <c r="L74" s="3">
        <f>IF(K74="","",ROUND(K74*5/1000,0))</f>
        <v/>
      </c>
      <c r="M74" s="2">
        <f>IF(F74="","",ROUND(F74*$B$247,0))</f>
        <v/>
      </c>
      <c r="N74" s="1">
        <f>IF(M74="","",ROUND(M74*$B$248,0))</f>
        <v/>
      </c>
      <c r="O74" s="1">
        <f>IF(N74="","",ROUND(N74*$B$249,0))</f>
        <v/>
      </c>
      <c r="P74" s="3">
        <f>IF(O74="","",ROUND(O74*7.30,0))</f>
        <v/>
      </c>
      <c r="Q74" s="3">
        <f>IF(L74="","",L74+P74)</f>
        <v/>
      </c>
    </row>
    <row r="75">
      <c r="A75" s="1" t="inlineStr">
        <is>
          <t>Tier 3</t>
        </is>
      </c>
      <c r="B75" s="1" t="inlineStr">
        <is>
          <t>IS</t>
        </is>
      </c>
      <c r="C75" s="2" t="n"/>
      <c r="D75" s="2" t="n"/>
      <c r="E75" s="1">
        <f>IFERROR(ROUND(C75/D75,0),"")</f>
        <v/>
      </c>
      <c r="F75" s="2">
        <f>IF(D75="","",D75*$B$244)</f>
        <v/>
      </c>
      <c r="G75" s="2">
        <f>IF(F75="","",ROUND(F75*$B$246,0))</f>
        <v/>
      </c>
      <c r="H75" s="3">
        <f>IF(G75="","",ROUND(G75*10/1000,0))</f>
        <v/>
      </c>
      <c r="I75" s="3">
        <f>IF(G75="","",ROUND(G75*15/1000,0))</f>
        <v/>
      </c>
      <c r="J75" s="3">
        <f>IF(G75="","",ROUND(G75*20/1000,0))</f>
        <v/>
      </c>
      <c r="K75" s="2">
        <f>IF(F75="","",ROUND(F75*0.10,0))</f>
        <v/>
      </c>
      <c r="L75" s="3">
        <f>IF(K75="","",ROUND(K75*5/1000,0))</f>
        <v/>
      </c>
      <c r="M75" s="2">
        <f>IF(F75="","",ROUND(F75*$B$247,0))</f>
        <v/>
      </c>
      <c r="N75" s="1">
        <f>IF(M75="","",ROUND(M75*$B$248,0))</f>
        <v/>
      </c>
      <c r="O75" s="1">
        <f>IF(N75="","",ROUND(N75*$B$249,0))</f>
        <v/>
      </c>
      <c r="P75" s="3">
        <f>IF(O75="","",ROUND(O75*7.30,0))</f>
        <v/>
      </c>
      <c r="Q75" s="3">
        <f>IF(L75="","",L75+P75)</f>
        <v/>
      </c>
    </row>
    <row r="76">
      <c r="A76" s="1" t="inlineStr">
        <is>
          <t>Tier 3</t>
        </is>
      </c>
      <c r="B76" s="1" t="inlineStr">
        <is>
          <t>SA</t>
        </is>
      </c>
      <c r="C76" s="2" t="n"/>
      <c r="E76" s="1">
        <f>IFERROR(ROUND(C76/D76,0),"")</f>
        <v/>
      </c>
      <c r="F76" s="2">
        <f>IF(D76="","",D76*$B$244)</f>
        <v/>
      </c>
      <c r="G76" s="2">
        <f>IF(F76="","",ROUND(F76*$B$246,0))</f>
        <v/>
      </c>
      <c r="H76" s="3">
        <f>IF(G76="","",ROUND(G76*10/1000,0))</f>
        <v/>
      </c>
      <c r="I76" s="3">
        <f>IF(G76="","",ROUND(G76*15/1000,0))</f>
        <v/>
      </c>
      <c r="J76" s="3">
        <f>IF(G76="","",ROUND(G76*20/1000,0))</f>
        <v/>
      </c>
      <c r="K76" s="2">
        <f>IF(F76="","",ROUND(F76*0.10,0))</f>
        <v/>
      </c>
      <c r="L76" s="3">
        <f>IF(K76="","",ROUND(K76*5/1000,0))</f>
        <v/>
      </c>
      <c r="M76" s="2">
        <f>IF(F76="","",ROUND(F76*$B$247,0))</f>
        <v/>
      </c>
      <c r="N76" s="1">
        <f>IF(M76="","",ROUND(M76*$B$248,0))</f>
        <v/>
      </c>
      <c r="O76" s="1">
        <f>IF(N76="","",ROUND(N76*$B$249,0))</f>
        <v/>
      </c>
      <c r="P76" s="3">
        <f>IF(O76="","",ROUND(O76*7.30,0))</f>
        <v/>
      </c>
      <c r="Q76" s="3">
        <f>IF(L76="","",L76+P76)</f>
        <v/>
      </c>
    </row>
    <row r="77">
      <c r="A77" s="1" t="inlineStr">
        <is>
          <t>Tier 3</t>
        </is>
      </c>
      <c r="B77" s="1" t="inlineStr">
        <is>
          <t>MX</t>
        </is>
      </c>
      <c r="C77" s="2" t="n"/>
      <c r="E77" s="1">
        <f>IFERROR(ROUND(C77/D77,0),"")</f>
        <v/>
      </c>
      <c r="F77" s="2">
        <f>IF(D77="","",D77*$B$244)</f>
        <v/>
      </c>
      <c r="G77" s="2">
        <f>IF(F77="","",ROUND(F77*$B$246,0))</f>
        <v/>
      </c>
      <c r="H77" s="3">
        <f>IF(G77="","",ROUND(G77*10/1000,0))</f>
        <v/>
      </c>
      <c r="I77" s="3">
        <f>IF(G77="","",ROUND(G77*15/1000,0))</f>
        <v/>
      </c>
      <c r="J77" s="3">
        <f>IF(G77="","",ROUND(G77*20/1000,0))</f>
        <v/>
      </c>
      <c r="K77" s="2">
        <f>IF(F77="","",ROUND(F77*0.10,0))</f>
        <v/>
      </c>
      <c r="L77" s="3">
        <f>IF(K77="","",ROUND(K77*5/1000,0))</f>
        <v/>
      </c>
      <c r="M77" s="2">
        <f>IF(F77="","",ROUND(F77*$B$247,0))</f>
        <v/>
      </c>
      <c r="N77" s="1">
        <f>IF(M77="","",ROUND(M77*$B$248,0))</f>
        <v/>
      </c>
      <c r="O77" s="1">
        <f>IF(N77="","",ROUND(N77*$B$249,0))</f>
        <v/>
      </c>
      <c r="P77" s="3">
        <f>IF(O77="","",ROUND(O77*7.30,0))</f>
        <v/>
      </c>
      <c r="Q77" s="3">
        <f>IF(L77="","",L77+P77)</f>
        <v/>
      </c>
    </row>
    <row r="78">
      <c r="A78" s="1" t="inlineStr">
        <is>
          <t>Tier 3</t>
        </is>
      </c>
      <c r="B78" s="1" t="inlineStr">
        <is>
          <t>IQ</t>
        </is>
      </c>
      <c r="C78" s="2" t="n"/>
      <c r="E78" s="1">
        <f>IFERROR(ROUND(C78/D78,0),"")</f>
        <v/>
      </c>
      <c r="F78" s="2">
        <f>IF(D78="","",D78*$B$244)</f>
        <v/>
      </c>
      <c r="G78" s="2">
        <f>IF(F78="","",ROUND(F78*$B$246,0))</f>
        <v/>
      </c>
      <c r="H78" s="3">
        <f>IF(G78="","",ROUND(G78*10/1000,0))</f>
        <v/>
      </c>
      <c r="I78" s="3">
        <f>IF(G78="","",ROUND(G78*15/1000,0))</f>
        <v/>
      </c>
      <c r="J78" s="3">
        <f>IF(G78="","",ROUND(G78*20/1000,0))</f>
        <v/>
      </c>
      <c r="K78" s="2">
        <f>IF(F78="","",ROUND(F78*0.10,0))</f>
        <v/>
      </c>
      <c r="L78" s="3">
        <f>IF(K78="","",ROUND(K78*5/1000,0))</f>
        <v/>
      </c>
      <c r="M78" s="2">
        <f>IF(F78="","",ROUND(F78*$B$247,0))</f>
        <v/>
      </c>
      <c r="N78" s="1">
        <f>IF(M78="","",ROUND(M78*$B$248,0))</f>
        <v/>
      </c>
      <c r="O78" s="1">
        <f>IF(N78="","",ROUND(N78*$B$249,0))</f>
        <v/>
      </c>
      <c r="P78" s="3">
        <f>IF(O78="","",ROUND(O78*7.30,0))</f>
        <v/>
      </c>
      <c r="Q78" s="3">
        <f>IF(L78="","",L78+P78)</f>
        <v/>
      </c>
    </row>
    <row r="79">
      <c r="A79" s="1" t="inlineStr">
        <is>
          <t>Tier 3</t>
        </is>
      </c>
      <c r="B79" s="1" t="inlineStr">
        <is>
          <t>CY</t>
        </is>
      </c>
      <c r="C79" s="2" t="n"/>
      <c r="E79" s="1">
        <f>IFERROR(ROUND(C79/D79,0),"")</f>
        <v/>
      </c>
      <c r="F79" s="2">
        <f>IF(D79="","",D79*$B$244)</f>
        <v/>
      </c>
      <c r="G79" s="2">
        <f>IF(F79="","",ROUND(F79*$B$246,0))</f>
        <v/>
      </c>
      <c r="H79" s="3">
        <f>IF(G79="","",ROUND(G79*10/1000,0))</f>
        <v/>
      </c>
      <c r="I79" s="3">
        <f>IF(G79="","",ROUND(G79*15/1000,0))</f>
        <v/>
      </c>
      <c r="J79" s="3">
        <f>IF(G79="","",ROUND(G79*20/1000,0))</f>
        <v/>
      </c>
      <c r="K79" s="2">
        <f>IF(F79="","",ROUND(F79*0.10,0))</f>
        <v/>
      </c>
      <c r="L79" s="3">
        <f>IF(K79="","",ROUND(K79*5/1000,0))</f>
        <v/>
      </c>
      <c r="M79" s="2">
        <f>IF(F79="","",ROUND(F79*$B$247,0))</f>
        <v/>
      </c>
      <c r="N79" s="1">
        <f>IF(M79="","",ROUND(M79*$B$248,0))</f>
        <v/>
      </c>
      <c r="O79">
        <f>IF(N79="","",ROUND(N79*$B$249,0))</f>
        <v/>
      </c>
      <c r="P79" s="3">
        <f>IF(O79="","",ROUND(O79*7.30,0))</f>
        <v/>
      </c>
      <c r="Q79" s="3">
        <f>IF(L79="","",L79+P79)</f>
        <v/>
      </c>
    </row>
    <row r="80">
      <c r="A80" s="1" t="inlineStr">
        <is>
          <t>Tier 3</t>
        </is>
      </c>
      <c r="B80" s="1" t="inlineStr">
        <is>
          <t>NZ</t>
        </is>
      </c>
      <c r="C80" s="2" t="n"/>
      <c r="E80" s="1">
        <f>IFERROR(ROUND(C80/D80,0),"")</f>
        <v/>
      </c>
      <c r="F80" s="2">
        <f>IF(D80="","",D80*$B$244)</f>
        <v/>
      </c>
      <c r="G80" s="2">
        <f>IF(F80="","",ROUND(F80*$B$246,0))</f>
        <v/>
      </c>
      <c r="H80" s="3">
        <f>IF(G80="","",ROUND(G80*10/1000,0))</f>
        <v/>
      </c>
      <c r="I80" s="3">
        <f>IF(G80="","",ROUND(G80*15/1000,0))</f>
        <v/>
      </c>
      <c r="J80" s="3">
        <f>IF(G80="","",ROUND(G80*20/1000,0))</f>
        <v/>
      </c>
      <c r="K80" s="2">
        <f>IF(F80="","",ROUND(F80*0.10,0))</f>
        <v/>
      </c>
      <c r="L80" s="3">
        <f>IF(K80="","",ROUND(K80*5/1000,0))</f>
        <v/>
      </c>
      <c r="M80" s="2">
        <f>IF(F80="","",ROUND(F80*$B$247,0))</f>
        <v/>
      </c>
      <c r="N80" s="1">
        <f>IF(M80="","",ROUND(M80*$B$248,0))</f>
        <v/>
      </c>
      <c r="O80">
        <f>IF(N80="","",ROUND(N80*$B$249,0))</f>
        <v/>
      </c>
      <c r="P80" s="3">
        <f>IF(O80="","",ROUND(O80*7.30,0))</f>
        <v/>
      </c>
      <c r="Q80" s="3">
        <f>IF(L80="","",L80+P80)</f>
        <v/>
      </c>
    </row>
    <row r="81">
      <c r="A81" s="1" t="inlineStr">
        <is>
          <t>Tier 3</t>
        </is>
      </c>
      <c r="B81" s="1" t="inlineStr">
        <is>
          <t>VE</t>
        </is>
      </c>
      <c r="C81" s="2" t="n"/>
      <c r="E81" s="1">
        <f>IFERROR(ROUND(C81/D81,0),"")</f>
        <v/>
      </c>
      <c r="F81" s="2">
        <f>IF(D81="","",D81*$B$244)</f>
        <v/>
      </c>
      <c r="G81" s="2">
        <f>IF(F81="","",ROUND(F81*$B$246,0))</f>
        <v/>
      </c>
      <c r="H81" s="3">
        <f>IF(G81="","",ROUND(G81*10/1000,0))</f>
        <v/>
      </c>
      <c r="I81" s="3">
        <f>IF(G81="","",ROUND(G81*15/1000,0))</f>
        <v/>
      </c>
      <c r="J81" s="3">
        <f>IF(G81="","",ROUND(G81*20/1000,0))</f>
        <v/>
      </c>
      <c r="K81" s="2">
        <f>IF(F81="","",ROUND(F81*0.10,0))</f>
        <v/>
      </c>
      <c r="L81" s="3">
        <f>IF(K81="","",ROUND(K81*5/1000,0))</f>
        <v/>
      </c>
      <c r="M81" s="2">
        <f>IF(F81="","",ROUND(F81*$B$247,0))</f>
        <v/>
      </c>
      <c r="N81" s="1">
        <f>IF(M81="","",ROUND(M81*$B$248,0))</f>
        <v/>
      </c>
      <c r="O81" s="1">
        <f>IF(N81="","",ROUND(N81*$B$249,0))</f>
        <v/>
      </c>
      <c r="P81" s="3">
        <f>IF(O81="","",ROUND(O81*7.30,0))</f>
        <v/>
      </c>
      <c r="Q81" s="3">
        <f>IF(L81="","",L81+P81)</f>
        <v/>
      </c>
    </row>
    <row r="82">
      <c r="A82" s="1" t="inlineStr">
        <is>
          <t>Tier 3</t>
        </is>
      </c>
      <c r="B82" s="1" t="inlineStr">
        <is>
          <t>TN</t>
        </is>
      </c>
      <c r="C82" s="2" t="n"/>
      <c r="E82" s="1">
        <f>IFERROR(ROUND(C82/D82,0),"")</f>
        <v/>
      </c>
      <c r="F82" s="2">
        <f>IF(D82="","",D82*$B$244)</f>
        <v/>
      </c>
      <c r="G82" s="2">
        <f>IF(F82="","",ROUND(F82*$B$246,0))</f>
        <v/>
      </c>
      <c r="H82" s="3">
        <f>IF(G82="","",ROUND(G82*10/1000,0))</f>
        <v/>
      </c>
      <c r="I82" s="3">
        <f>IF(G82="","",ROUND(G82*15/1000,0))</f>
        <v/>
      </c>
      <c r="J82" s="3">
        <f>IF(G82="","",ROUND(G82*20/1000,0))</f>
        <v/>
      </c>
      <c r="K82" s="2">
        <f>IF(F82="","",ROUND(F82*0.10,0))</f>
        <v/>
      </c>
      <c r="L82" s="3">
        <f>IF(K82="","",ROUND(K82*5/1000,0))</f>
        <v/>
      </c>
      <c r="M82" s="2">
        <f>IF(F82="","",ROUND(F82*$B$247,0))</f>
        <v/>
      </c>
      <c r="N82" s="1">
        <f>IF(M82="","",ROUND(M82*$B$248,0))</f>
        <v/>
      </c>
      <c r="O82" s="1">
        <f>IF(N82="","",ROUND(N82*$B$249,0))</f>
        <v/>
      </c>
      <c r="P82" s="3">
        <f>IF(O82="","",ROUND(O82*7.30,0))</f>
        <v/>
      </c>
      <c r="Q82" s="3">
        <f>IF(L82="","",L82+P82)</f>
        <v/>
      </c>
    </row>
    <row r="83">
      <c r="A83" s="1" t="inlineStr">
        <is>
          <t>Tier 3</t>
        </is>
      </c>
      <c r="B83" s="1" t="inlineStr">
        <is>
          <t>MA</t>
        </is>
      </c>
      <c r="C83" s="2" t="n"/>
      <c r="E83" s="1">
        <f>IFERROR(ROUND(C83/D83,0),"")</f>
        <v/>
      </c>
      <c r="F83" s="2">
        <f>IF(D83="","",D83*$B$244)</f>
        <v/>
      </c>
      <c r="G83" s="2">
        <f>IF(F83="","",ROUND(F83*$B$246,0))</f>
        <v/>
      </c>
      <c r="H83" s="3">
        <f>IF(G83="","",ROUND(G83*10/1000,0))</f>
        <v/>
      </c>
      <c r="I83" s="3">
        <f>IF(G83="","",ROUND(G83*15/1000,0))</f>
        <v/>
      </c>
      <c r="J83" s="3">
        <f>IF(G83="","",ROUND(G83*20/1000,0))</f>
        <v/>
      </c>
      <c r="K83" s="2">
        <f>IF(F83="","",ROUND(F83*0.10,0))</f>
        <v/>
      </c>
      <c r="L83" s="3">
        <f>IF(K83="","",ROUND(K83*5/1000,0))</f>
        <v/>
      </c>
      <c r="M83" s="2">
        <f>IF(F83="","",ROUND(F83*$B$247,0))</f>
        <v/>
      </c>
      <c r="N83" s="1">
        <f>IF(M83="","",ROUND(M83*$B$248,0))</f>
        <v/>
      </c>
      <c r="O83" s="1">
        <f>IF(N83="","",ROUND(N83*$B$249,0))</f>
        <v/>
      </c>
      <c r="P83" s="3">
        <f>IF(O83="","",ROUND(O83*7.30,0))</f>
        <v/>
      </c>
      <c r="Q83" s="3">
        <f>IF(L83="","",L83+P83)</f>
        <v/>
      </c>
    </row>
    <row r="84">
      <c r="A84" s="1" t="inlineStr">
        <is>
          <t>Tier 3</t>
        </is>
      </c>
      <c r="B84" s="1" t="inlineStr">
        <is>
          <t>CO</t>
        </is>
      </c>
      <c r="C84" s="2" t="n"/>
      <c r="E84" s="1">
        <f>IFERROR(ROUND(C84/D84,0),"")</f>
        <v/>
      </c>
      <c r="F84" s="2">
        <f>IF(D84="","",D84*$B$244)</f>
        <v/>
      </c>
      <c r="G84" s="2">
        <f>IF(F84="","",ROUND(F84*$B$246,0))</f>
        <v/>
      </c>
      <c r="H84" s="3">
        <f>IF(G84="","",ROUND(G84*10/1000,0))</f>
        <v/>
      </c>
      <c r="I84" s="3">
        <f>IF(G84="","",ROUND(G84*15/1000,0))</f>
        <v/>
      </c>
      <c r="J84" s="3">
        <f>IF(G84="","",ROUND(G84*20/1000,0))</f>
        <v/>
      </c>
      <c r="K84" s="2">
        <f>IF(F84="","",ROUND(F84*0.10,0))</f>
        <v/>
      </c>
      <c r="L84" s="3">
        <f>IF(K84="","",ROUND(K84*5/1000,0))</f>
        <v/>
      </c>
      <c r="M84" s="2">
        <f>IF(F84="","",ROUND(F84*$B$247,0))</f>
        <v/>
      </c>
      <c r="N84" s="1">
        <f>IF(M84="","",ROUND(M84*$B$248,0))</f>
        <v/>
      </c>
      <c r="O84">
        <f>IF(N84="","",ROUND(N84*$B$249,0))</f>
        <v/>
      </c>
      <c r="P84" s="3">
        <f>IF(O84="","",ROUND(O84*7.30,0))</f>
        <v/>
      </c>
      <c r="Q84" s="3">
        <f>IF(L84="","",L84+P84)</f>
        <v/>
      </c>
    </row>
    <row r="85">
      <c r="A85" s="1" t="inlineStr">
        <is>
          <t>Tier 3</t>
        </is>
      </c>
      <c r="B85" s="1" t="inlineStr">
        <is>
          <t>EG</t>
        </is>
      </c>
      <c r="C85" s="2" t="n"/>
      <c r="E85" s="1">
        <f>IFERROR(ROUND(C85/D85,0),"")</f>
        <v/>
      </c>
      <c r="F85" s="2">
        <f>IF(D85="","",D85*$B$244)</f>
        <v/>
      </c>
      <c r="G85" s="2">
        <f>IF(F85="","",ROUND(F85*$B$246,0))</f>
        <v/>
      </c>
      <c r="H85" s="3">
        <f>IF(G85="","",ROUND(G85*10/1000,0))</f>
        <v/>
      </c>
      <c r="I85" s="3">
        <f>IF(G85="","",ROUND(G85*15/1000,0))</f>
        <v/>
      </c>
      <c r="J85" s="3">
        <f>IF(G85="","",ROUND(G85*20/1000,0))</f>
        <v/>
      </c>
      <c r="K85" s="2">
        <f>IF(F85="","",ROUND(F85*0.10,0))</f>
        <v/>
      </c>
      <c r="L85" s="3">
        <f>IF(K85="","",ROUND(K85*5/1000,0))</f>
        <v/>
      </c>
      <c r="M85" s="2">
        <f>IF(F85="","",ROUND(F85*$B$247,0))</f>
        <v/>
      </c>
      <c r="N85" s="1">
        <f>IF(M85="","",ROUND(M85*$B$248,0))</f>
        <v/>
      </c>
      <c r="O85">
        <f>IF(N85="","",ROUND(N85*$B$249,0))</f>
        <v/>
      </c>
      <c r="P85" s="3">
        <f>IF(O85="","",ROUND(O85*7.30,0))</f>
        <v/>
      </c>
      <c r="Q85" s="3">
        <f>IF(L85="","",L85+P85)</f>
        <v/>
      </c>
    </row>
    <row r="86">
      <c r="A86" s="1" t="inlineStr">
        <is>
          <t>Tier 3</t>
        </is>
      </c>
      <c r="B86" s="1" t="inlineStr">
        <is>
          <t>LU</t>
        </is>
      </c>
      <c r="C86" s="2" t="n"/>
      <c r="E86" s="1">
        <f>IFERROR(ROUND(C86/D86,0),"")</f>
        <v/>
      </c>
      <c r="F86" s="2">
        <f>IF(D86="","",D86*$B$244)</f>
        <v/>
      </c>
      <c r="G86" s="2">
        <f>IF(F86="","",ROUND(F86*$B$246,0))</f>
        <v/>
      </c>
      <c r="H86" s="3">
        <f>IF(G86="","",ROUND(G86*10/1000,0))</f>
        <v/>
      </c>
      <c r="I86" s="3">
        <f>IF(G86="","",ROUND(G86*15/1000,0))</f>
        <v/>
      </c>
      <c r="J86" s="3">
        <f>IF(G86="","",ROUND(G86*20/1000,0))</f>
        <v/>
      </c>
      <c r="K86" s="2">
        <f>IF(F86="","",ROUND(F86*0.10,0))</f>
        <v/>
      </c>
      <c r="L86" s="3">
        <f>IF(K86="","",ROUND(K86*5/1000,0))</f>
        <v/>
      </c>
      <c r="M86" s="2">
        <f>IF(F86="","",ROUND(F86*$B$247,0))</f>
        <v/>
      </c>
      <c r="N86" s="1">
        <f>IF(M86="","",ROUND(M86*$B$248,0))</f>
        <v/>
      </c>
      <c r="O86">
        <f>IF(N86="","",ROUND(N86*$B$249,0))</f>
        <v/>
      </c>
      <c r="P86" s="3">
        <f>IF(O86="","",ROUND(O86*7.30,0))</f>
        <v/>
      </c>
      <c r="Q86" s="3">
        <f>IF(L86="","",L86+P86)</f>
        <v/>
      </c>
    </row>
    <row r="87">
      <c r="A87" s="1" t="inlineStr">
        <is>
          <t>Tier 3</t>
        </is>
      </c>
      <c r="B87" s="1" t="inlineStr">
        <is>
          <t>BD</t>
        </is>
      </c>
      <c r="C87" s="2" t="n"/>
      <c r="E87" s="1">
        <f>IFERROR(ROUND(C87/D87,0),"")</f>
        <v/>
      </c>
      <c r="F87" s="2">
        <f>IF(D87="","",D87*$B$244)</f>
        <v/>
      </c>
      <c r="G87" s="2">
        <f>IF(F87="","",ROUND(F87*$B$246,0))</f>
        <v/>
      </c>
      <c r="H87" s="3">
        <f>IF(G87="","",ROUND(G87*10/1000,0))</f>
        <v/>
      </c>
      <c r="I87" s="3">
        <f>IF(G87="","",ROUND(G87*15/1000,0))</f>
        <v/>
      </c>
      <c r="J87" s="3">
        <f>IF(G87="","",ROUND(G87*20/1000,0))</f>
        <v/>
      </c>
      <c r="K87" s="2">
        <f>IF(F87="","",ROUND(F87*0.10,0))</f>
        <v/>
      </c>
      <c r="L87" s="3">
        <f>IF(K87="","",ROUND(K87*5/1000,0))</f>
        <v/>
      </c>
      <c r="M87" s="2">
        <f>IF(F87="","",ROUND(F87*$B$247,0))</f>
        <v/>
      </c>
      <c r="N87" s="1">
        <f>IF(M87="","",ROUND(M87*$B$248,0))</f>
        <v/>
      </c>
      <c r="O87">
        <f>IF(N87="","",ROUND(N87*$B$249,0))</f>
        <v/>
      </c>
      <c r="P87" s="3">
        <f>IF(O87="","",ROUND(O87*7.30,0))</f>
        <v/>
      </c>
      <c r="Q87" s="3">
        <f>IF(L87="","",L87+P87)</f>
        <v/>
      </c>
    </row>
    <row r="88">
      <c r="A88" s="1" t="inlineStr">
        <is>
          <t>Tier 3</t>
        </is>
      </c>
      <c r="B88" s="1" t="inlineStr">
        <is>
          <t>SY</t>
        </is>
      </c>
      <c r="C88" s="2" t="n"/>
      <c r="E88" s="1">
        <f>IFERROR(ROUND(C88/D88,0),"")</f>
        <v/>
      </c>
      <c r="F88" s="2">
        <f>IF(D88="","",D88*$B$244)</f>
        <v/>
      </c>
      <c r="G88" s="2">
        <f>IF(F88="","",ROUND(F88*$B$246,0))</f>
        <v/>
      </c>
      <c r="H88" s="3">
        <f>IF(G88="","",ROUND(G88*10/1000,0))</f>
        <v/>
      </c>
      <c r="I88" s="3">
        <f>IF(G88="","",ROUND(G88*15/1000,0))</f>
        <v/>
      </c>
      <c r="J88" s="3">
        <f>IF(G88="","",ROUND(G88*20/1000,0))</f>
        <v/>
      </c>
      <c r="K88" s="2">
        <f>IF(F88="","",ROUND(F88*0.10,0))</f>
        <v/>
      </c>
      <c r="L88" s="3">
        <f>IF(K88="","",ROUND(K88*5/1000,0))</f>
        <v/>
      </c>
      <c r="M88" s="2">
        <f>IF(F88="","",ROUND(F88*$B$247,0))</f>
        <v/>
      </c>
      <c r="N88" s="1">
        <f>IF(M88="","",ROUND(M88*$B$248,0))</f>
        <v/>
      </c>
      <c r="O88">
        <f>IF(N88="","",ROUND(N88*$B$249,0))</f>
        <v/>
      </c>
      <c r="P88" s="3">
        <f>IF(O88="","",ROUND(O88*7.30,0))</f>
        <v/>
      </c>
      <c r="Q88" s="3">
        <f>IF(L88="","",L88+P88)</f>
        <v/>
      </c>
    </row>
    <row r="89">
      <c r="A89" s="1" t="inlineStr">
        <is>
          <t>Tier 3</t>
        </is>
      </c>
      <c r="B89" s="1" t="inlineStr">
        <is>
          <t>KW</t>
        </is>
      </c>
      <c r="C89" s="2" t="n"/>
      <c r="E89" s="1">
        <f>IFERROR(ROUND(C89/D89,0),"")</f>
        <v/>
      </c>
      <c r="F89" s="2">
        <f>IF(D89="","",D89*$B$244)</f>
        <v/>
      </c>
      <c r="G89" s="2">
        <f>IF(F89="","",ROUND(F89*$B$246,0))</f>
        <v/>
      </c>
      <c r="H89" s="3">
        <f>IF(G89="","",ROUND(G89*10/1000,0))</f>
        <v/>
      </c>
      <c r="I89" s="3">
        <f>IF(G89="","",ROUND(G89*15/1000,0))</f>
        <v/>
      </c>
      <c r="J89" s="3">
        <f>IF(G89="","",ROUND(G89*20/1000,0))</f>
        <v/>
      </c>
      <c r="K89" s="1">
        <f>IF(F89="","",ROUND(F89*0.10,0))</f>
        <v/>
      </c>
      <c r="L89" s="3">
        <f>IF(K89="","",ROUND(K89*5/1000,0))</f>
        <v/>
      </c>
      <c r="M89" s="2">
        <f>IF(F89="","",ROUND(F89*$B$247,0))</f>
        <v/>
      </c>
      <c r="N89" s="1">
        <f>IF(M89="","",ROUND(M89*$B$248,0))</f>
        <v/>
      </c>
      <c r="O89">
        <f>IF(N89="","",ROUND(N89*$B$249,0))</f>
        <v/>
      </c>
      <c r="P89" s="3">
        <f>IF(O89="","",ROUND(O89*7.30,0))</f>
        <v/>
      </c>
      <c r="Q89" s="3">
        <f>IF(L89="","",L89+P89)</f>
        <v/>
      </c>
    </row>
    <row r="90">
      <c r="A90" s="1" t="inlineStr">
        <is>
          <t>Tier 3</t>
        </is>
      </c>
      <c r="B90" s="1" t="inlineStr">
        <is>
          <t>KH</t>
        </is>
      </c>
      <c r="C90" s="2" t="n"/>
      <c r="E90" s="1">
        <f>IFERROR(ROUND(C90/D90,0),"")</f>
        <v/>
      </c>
      <c r="F90" s="2">
        <f>IF(D90="","",D90*$B$244)</f>
        <v/>
      </c>
      <c r="G90" s="2">
        <f>IF(F90="","",ROUND(F90*$B$246,0))</f>
        <v/>
      </c>
      <c r="H90" s="3">
        <f>IF(G90="","",ROUND(G90*10/1000,0))</f>
        <v/>
      </c>
      <c r="I90" s="3">
        <f>IF(G90="","",ROUND(G90*15/1000,0))</f>
        <v/>
      </c>
      <c r="J90" s="3">
        <f>IF(G90="","",ROUND(G90*20/1000,0))</f>
        <v/>
      </c>
      <c r="K90" s="1">
        <f>IF(F90="","",ROUND(F90*0.10,0))</f>
        <v/>
      </c>
      <c r="L90" s="3">
        <f>IF(K90="","",ROUND(K90*5/1000,0))</f>
        <v/>
      </c>
      <c r="M90" s="2">
        <f>IF(F90="","",ROUND(F90*$B$247,0))</f>
        <v/>
      </c>
      <c r="N90" s="1">
        <f>IF(M90="","",ROUND(M90*$B$248,0))</f>
        <v/>
      </c>
      <c r="O90">
        <f>IF(N90="","",ROUND(N90*$B$249,0))</f>
        <v/>
      </c>
      <c r="P90" s="3">
        <f>IF(O90="","",ROUND(O90*7.30,0))</f>
        <v/>
      </c>
      <c r="Q90" s="3">
        <f>IF(L90="","",L90+P90)</f>
        <v/>
      </c>
    </row>
    <row r="91">
      <c r="A91" s="1" t="inlineStr">
        <is>
          <t>Tier 3</t>
        </is>
      </c>
      <c r="B91" s="1" t="inlineStr">
        <is>
          <t>PY</t>
        </is>
      </c>
      <c r="C91" s="2" t="n"/>
      <c r="E91" s="1">
        <f>IFERROR(ROUND(C91/D91,0),"")</f>
        <v/>
      </c>
      <c r="F91" s="2">
        <f>IF(D91="","",D91*$B$244)</f>
        <v/>
      </c>
      <c r="G91" s="2">
        <f>IF(F91="","",ROUND(F91*$B$246,0))</f>
        <v/>
      </c>
      <c r="H91" s="3">
        <f>IF(G91="","",ROUND(G91*10/1000,0))</f>
        <v/>
      </c>
      <c r="I91" s="3">
        <f>IF(G91="","",ROUND(G91*15/1000,0))</f>
        <v/>
      </c>
      <c r="J91" s="3">
        <f>IF(G91="","",ROUND(G91*20/1000,0))</f>
        <v/>
      </c>
      <c r="K91" s="1">
        <f>IF(F91="","",ROUND(F91*0.10,0))</f>
        <v/>
      </c>
      <c r="L91" s="3">
        <f>IF(K91="","",ROUND(K91*5/1000,0))</f>
        <v/>
      </c>
      <c r="M91" s="2">
        <f>IF(F91="","",ROUND(F91*$B$247,0))</f>
        <v/>
      </c>
      <c r="N91" s="1">
        <f>IF(M91="","",ROUND(M91*$B$248,0))</f>
        <v/>
      </c>
      <c r="O91">
        <f>IF(N91="","",ROUND(N91*$B$249,0))</f>
        <v/>
      </c>
      <c r="P91" s="3">
        <f>IF(O91="","",ROUND(O91*7.30,0))</f>
        <v/>
      </c>
      <c r="Q91" s="3">
        <f>IF(L91="","",L91+P91)</f>
        <v/>
      </c>
    </row>
    <row r="92">
      <c r="A92" s="1" t="inlineStr">
        <is>
          <t>Tier 3</t>
        </is>
      </c>
      <c r="B92" s="1" t="inlineStr">
        <is>
          <t>ZA</t>
        </is>
      </c>
      <c r="C92" s="2" t="n"/>
      <c r="E92" s="1">
        <f>IFERROR(ROUND(C92/D92,0),"")</f>
        <v/>
      </c>
      <c r="F92" s="2">
        <f>IF(D92="","",D92*$B$244)</f>
        <v/>
      </c>
      <c r="G92" s="2">
        <f>IF(F92="","",ROUND(F92*$B$246,0))</f>
        <v/>
      </c>
      <c r="H92" s="3">
        <f>IF(G92="","",ROUND(G92*10/1000,0))</f>
        <v/>
      </c>
      <c r="I92" s="3">
        <f>IF(G92="","",ROUND(G92*15/1000,0))</f>
        <v/>
      </c>
      <c r="J92" s="3">
        <f>IF(G92="","",ROUND(G92*20/1000,0))</f>
        <v/>
      </c>
      <c r="K92" s="1">
        <f>IF(F92="","",ROUND(F92*0.10,0))</f>
        <v/>
      </c>
      <c r="L92" s="3">
        <f>IF(K92="","",ROUND(K92*5/1000,0))</f>
        <v/>
      </c>
      <c r="M92" s="2">
        <f>IF(F92="","",ROUND(F92*$B$247,0))</f>
        <v/>
      </c>
      <c r="N92" s="1">
        <f>IF(M92="","",ROUND(M92*$B$248,0))</f>
        <v/>
      </c>
      <c r="O92">
        <f>IF(N92="","",ROUND(N92*$B$249,0))</f>
        <v/>
      </c>
      <c r="P92" s="3">
        <f>IF(O92="","",ROUND(O92*7.30,0))</f>
        <v/>
      </c>
      <c r="Q92" s="3">
        <f>IF(L92="","",L92+P92)</f>
        <v/>
      </c>
    </row>
    <row r="93">
      <c r="A93" s="1" t="inlineStr">
        <is>
          <t>Tier 3</t>
        </is>
      </c>
      <c r="B93" s="1" t="inlineStr">
        <is>
          <t>OM</t>
        </is>
      </c>
      <c r="C93" s="2" t="n"/>
      <c r="E93" s="1">
        <f>IFERROR(ROUND(C93/D93,0),"")</f>
        <v/>
      </c>
      <c r="F93" s="2">
        <f>IF(D93="","",D93*$B$244)</f>
        <v/>
      </c>
      <c r="G93" s="2">
        <f>IF(F93="","",ROUND(F93*$B$246,0))</f>
        <v/>
      </c>
      <c r="H93" s="3">
        <f>IF(G93="","",ROUND(G93*10/1000,0))</f>
        <v/>
      </c>
      <c r="I93" s="3">
        <f>IF(G93="","",ROUND(G93*15/1000,0))</f>
        <v/>
      </c>
      <c r="J93" s="3">
        <f>IF(G93="","",ROUND(G93*20/1000,0))</f>
        <v/>
      </c>
      <c r="K93" s="1">
        <f>IF(F93="","",ROUND(F93*0.10,0))</f>
        <v/>
      </c>
      <c r="L93" s="3">
        <f>IF(K93="","",ROUND(K93*5/1000,0))</f>
        <v/>
      </c>
      <c r="M93" s="2">
        <f>IF(F93="","",ROUND(F93*$B$247,0))</f>
        <v/>
      </c>
      <c r="N93" s="1">
        <f>IF(M93="","",ROUND(M93*$B$248,0))</f>
        <v/>
      </c>
      <c r="O93">
        <f>IF(N93="","",ROUND(N93*$B$249,0))</f>
        <v/>
      </c>
      <c r="P93" s="3">
        <f>IF(O93="","",ROUND(O93*7.30,0))</f>
        <v/>
      </c>
      <c r="Q93" s="3">
        <f>IF(L93="","",L93+P93)</f>
        <v/>
      </c>
    </row>
    <row r="94">
      <c r="A94" s="1" t="inlineStr">
        <is>
          <t>Tier 3</t>
        </is>
      </c>
      <c r="B94" s="1" t="inlineStr">
        <is>
          <t>MT</t>
        </is>
      </c>
      <c r="C94" s="2" t="n"/>
      <c r="E94" s="1">
        <f>IFERROR(ROUND(C94/D94,0),"")</f>
        <v/>
      </c>
      <c r="F94" s="2">
        <f>IF(D94="","",D94*$B$244)</f>
        <v/>
      </c>
      <c r="G94" s="2">
        <f>IF(F94="","",ROUND(F94*$B$246,0))</f>
        <v/>
      </c>
      <c r="H94" s="3">
        <f>IF(G94="","",ROUND(G94*10/1000,0))</f>
        <v/>
      </c>
      <c r="I94" s="3">
        <f>IF(G94="","",ROUND(G94*15/1000,0))</f>
        <v/>
      </c>
      <c r="J94" s="3">
        <f>IF(G94="","",ROUND(G94*20/1000,0))</f>
        <v/>
      </c>
      <c r="K94" s="1">
        <f>IF(F94="","",ROUND(F94*0.10,0))</f>
        <v/>
      </c>
      <c r="L94" s="3">
        <f>IF(K94="","",ROUND(K94*5/1000,0))</f>
        <v/>
      </c>
      <c r="M94" s="2">
        <f>IF(F94="","",ROUND(F94*$B$247,0))</f>
        <v/>
      </c>
      <c r="N94" s="1">
        <f>IF(M94="","",ROUND(M94*$B$248,0))</f>
        <v/>
      </c>
      <c r="O94">
        <f>IF(N94="","",ROUND(N94*$B$249,0))</f>
        <v/>
      </c>
      <c r="P94" s="3">
        <f>IF(O94="","",ROUND(O94*7.30,0))</f>
        <v/>
      </c>
      <c r="Q94" s="3">
        <f>IF(L94="","",L94+P94)</f>
        <v/>
      </c>
    </row>
    <row r="95">
      <c r="A95" s="1" t="inlineStr">
        <is>
          <t>Tier 3</t>
        </is>
      </c>
      <c r="B95" s="1" t="inlineStr">
        <is>
          <t>QA</t>
        </is>
      </c>
      <c r="C95" s="2" t="n"/>
      <c r="E95" s="1">
        <f>IFERROR(ROUND(C95/D95,0),"")</f>
        <v/>
      </c>
      <c r="F95" s="2">
        <f>IF(D95="","",D95*$B$244)</f>
        <v/>
      </c>
      <c r="G95" s="2">
        <f>IF(F95="","",ROUND(F95*$B$246,0))</f>
        <v/>
      </c>
      <c r="H95" s="3">
        <f>IF(G95="","",ROUND(G95*10/1000,0))</f>
        <v/>
      </c>
      <c r="I95" s="3">
        <f>IF(G95="","",ROUND(G95*15/1000,0))</f>
        <v/>
      </c>
      <c r="J95" s="3">
        <f>IF(G95="","",ROUND(G95*20/1000,0))</f>
        <v/>
      </c>
      <c r="K95" s="1">
        <f>IF(F95="","",ROUND(F95*0.10,0))</f>
        <v/>
      </c>
      <c r="L95" s="3">
        <f>IF(K95="","",ROUND(K95*5/1000,0))</f>
        <v/>
      </c>
      <c r="M95" s="2">
        <f>IF(F95="","",ROUND(F95*$B$247,0))</f>
        <v/>
      </c>
      <c r="N95" s="1">
        <f>IF(M95="","",ROUND(M95*$B$248,0))</f>
        <v/>
      </c>
      <c r="O95">
        <f>IF(N95="","",ROUND(N95*$B$249,0))</f>
        <v/>
      </c>
      <c r="P95" s="3">
        <f>IF(O95="","",ROUND(O95*7.30,0))</f>
        <v/>
      </c>
      <c r="Q95" s="3">
        <f>IF(L95="","",L95+P95)</f>
        <v/>
      </c>
    </row>
    <row r="96">
      <c r="A96" s="1" t="inlineStr">
        <is>
          <t>Tier 3</t>
        </is>
      </c>
      <c r="B96" s="1" t="inlineStr">
        <is>
          <t>MM</t>
        </is>
      </c>
      <c r="C96" s="2" t="n"/>
      <c r="E96" s="1">
        <f>IFERROR(ROUND(C96/D96,0),"")</f>
        <v/>
      </c>
      <c r="F96" s="2">
        <f>IF(D96="","",D96*$B$244)</f>
        <v/>
      </c>
      <c r="G96" s="2">
        <f>IF(F96="","",ROUND(F96*$B$246,0))</f>
        <v/>
      </c>
      <c r="H96" s="3">
        <f>IF(G96="","",ROUND(G96*10/1000,0))</f>
        <v/>
      </c>
      <c r="I96" s="3">
        <f>IF(G96="","",ROUND(G96*15/1000,0))</f>
        <v/>
      </c>
      <c r="J96" s="3">
        <f>IF(G96="","",ROUND(G96*20/1000,0))</f>
        <v/>
      </c>
      <c r="K96" s="1">
        <f>IF(F96="","",ROUND(F96*0.10,0))</f>
        <v/>
      </c>
      <c r="L96" s="3">
        <f>IF(K96="","",ROUND(K96*5/1000,0))</f>
        <v/>
      </c>
      <c r="M96" s="2">
        <f>IF(F96="","",ROUND(F96*$B$247,0))</f>
        <v/>
      </c>
      <c r="N96" s="1">
        <f>IF(M96="","",ROUND(M96*$B$248,0))</f>
        <v/>
      </c>
      <c r="O96">
        <f>IF(N96="","",ROUND(N96*$B$249,0))</f>
        <v/>
      </c>
      <c r="P96" s="3">
        <f>IF(O96="","",ROUND(O96*7.30,0))</f>
        <v/>
      </c>
      <c r="Q96" s="3">
        <f>IF(L96="","",L96+P96)</f>
        <v/>
      </c>
    </row>
    <row r="97">
      <c r="A97" s="1" t="inlineStr">
        <is>
          <t>Tier 3</t>
        </is>
      </c>
      <c r="B97" s="1" t="inlineStr">
        <is>
          <t>BN</t>
        </is>
      </c>
      <c r="C97" s="2" t="n"/>
      <c r="E97" s="1">
        <f>IFERROR(ROUND(C97/D97,0),"")</f>
        <v/>
      </c>
      <c r="F97" s="2">
        <f>IF(D97="","",D97*$B$244)</f>
        <v/>
      </c>
      <c r="G97" s="1">
        <f>IF(F97="","",ROUND(F97*$B$246,0))</f>
        <v/>
      </c>
      <c r="H97" s="3">
        <f>IF(G97="","",ROUND(G97*10/1000,0))</f>
        <v/>
      </c>
      <c r="I97" s="3">
        <f>IF(G97="","",ROUND(G97*15/1000,0))</f>
        <v/>
      </c>
      <c r="J97" s="3">
        <f>IF(G97="","",ROUND(G97*20/1000,0))</f>
        <v/>
      </c>
      <c r="K97" s="1">
        <f>IF(F97="","",ROUND(F97*0.10,0))</f>
        <v/>
      </c>
      <c r="L97" s="3">
        <f>IF(K97="","",ROUND(K97*5/1000,0))</f>
        <v/>
      </c>
      <c r="M97" s="2">
        <f>IF(F97="","",ROUND(F97*$B$247,0))</f>
        <v/>
      </c>
      <c r="N97" s="1">
        <f>IF(M97="","",ROUND(M97*$B$248,0))</f>
        <v/>
      </c>
      <c r="O97">
        <f>IF(N97="","",ROUND(N97*$B$249,0))</f>
        <v/>
      </c>
      <c r="P97" s="3">
        <f>IF(O97="","",ROUND(O97*7.30,0))</f>
        <v/>
      </c>
      <c r="Q97" s="3">
        <f>IF(L97="","",L97+P97)</f>
        <v/>
      </c>
    </row>
    <row r="98">
      <c r="A98" s="1" t="inlineStr">
        <is>
          <t>Tier 3</t>
        </is>
      </c>
      <c r="B98" s="1" t="inlineStr">
        <is>
          <t>EC</t>
        </is>
      </c>
      <c r="C98" s="2" t="n"/>
      <c r="E98" s="1">
        <f>IFERROR(ROUND(C98/D98,0),"")</f>
        <v/>
      </c>
      <c r="F98" s="2">
        <f>IF(D98="","",D98*$B$244)</f>
        <v/>
      </c>
      <c r="G98" s="1">
        <f>IF(F98="","",ROUND(F98*$B$246,0))</f>
        <v/>
      </c>
      <c r="H98" s="3">
        <f>IF(G98="","",ROUND(G98*10/1000,0))</f>
        <v/>
      </c>
      <c r="I98" s="3">
        <f>IF(G98="","",ROUND(G98*15/1000,0))</f>
        <v/>
      </c>
      <c r="J98" s="3">
        <f>IF(G98="","",ROUND(G98*20/1000,0))</f>
        <v/>
      </c>
      <c r="K98" s="1">
        <f>IF(F98="","",ROUND(F98*0.10,0))</f>
        <v/>
      </c>
      <c r="L98" s="3">
        <f>IF(K98="","",ROUND(K98*5/1000,0))</f>
        <v/>
      </c>
      <c r="M98" s="2">
        <f>IF(F98="","",ROUND(F98*$B$247,0))</f>
        <v/>
      </c>
      <c r="N98" s="1">
        <f>IF(M98="","",ROUND(M98*$B$248,0))</f>
        <v/>
      </c>
      <c r="O98">
        <f>IF(N98="","",ROUND(N98*$B$249,0))</f>
        <v/>
      </c>
      <c r="P98" s="3">
        <f>IF(O98="","",ROUND(O98*7.30,0))</f>
        <v/>
      </c>
      <c r="Q98" s="3">
        <f>IF(L98="","",L98+P98)</f>
        <v/>
      </c>
    </row>
    <row r="99">
      <c r="A99" s="1" t="inlineStr">
        <is>
          <t>Tier 3</t>
        </is>
      </c>
      <c r="B99" s="1" t="inlineStr">
        <is>
          <t>LI</t>
        </is>
      </c>
      <c r="E99" s="1">
        <f>IFERROR(ROUND(C99/D99,0),"")</f>
        <v/>
      </c>
      <c r="F99" s="2">
        <f>IF(D99="","",D99*$B$244)</f>
        <v/>
      </c>
      <c r="G99" s="1">
        <f>IF(F99="","",ROUND(F99*$B$246,0))</f>
        <v/>
      </c>
      <c r="H99" s="3">
        <f>IF(G99="","",ROUND(G99*10/1000,0))</f>
        <v/>
      </c>
      <c r="I99" s="3">
        <f>IF(G99="","",ROUND(G99*15/1000,0))</f>
        <v/>
      </c>
      <c r="J99" s="3">
        <f>IF(G99="","",ROUND(G99*20/1000,0))</f>
        <v/>
      </c>
      <c r="K99" s="1">
        <f>IF(F99="","",ROUND(F99*0.10,0))</f>
        <v/>
      </c>
      <c r="L99" s="3">
        <f>IF(K99="","",ROUND(K99*5/1000,0))</f>
        <v/>
      </c>
      <c r="M99" s="2">
        <f>IF(F99="","",ROUND(F99*$B$247,0))</f>
        <v/>
      </c>
      <c r="N99">
        <f>IF(M99="","",ROUND(M99*$B$248,0))</f>
        <v/>
      </c>
      <c r="O99">
        <f>IF(N99="","",ROUND(N99*$B$249,0))</f>
        <v/>
      </c>
      <c r="P99" s="3">
        <f>IF(O99="","",ROUND(O99*7.30,0))</f>
        <v/>
      </c>
      <c r="Q99" s="3">
        <f>IF(L99="","",L99+P99)</f>
        <v/>
      </c>
    </row>
    <row r="100">
      <c r="A100" s="1" t="inlineStr">
        <is>
          <t>Tier 3</t>
        </is>
      </c>
      <c r="B100" s="1" t="inlineStr">
        <is>
          <t>BO</t>
        </is>
      </c>
      <c r="C100" s="2" t="n"/>
      <c r="E100" s="1">
        <f>IFERROR(ROUND(C100/D100,0),"")</f>
        <v/>
      </c>
      <c r="F100" s="2">
        <f>IF(D100="","",D100*$B$244)</f>
        <v/>
      </c>
      <c r="G100" s="1">
        <f>IF(F100="","",ROUND(F100*$B$246,0))</f>
        <v/>
      </c>
      <c r="H100" s="3">
        <f>IF(G100="","",ROUND(G100*10/1000,0))</f>
        <v/>
      </c>
      <c r="I100" s="3">
        <f>IF(G100="","",ROUND(G100*15/1000,0))</f>
        <v/>
      </c>
      <c r="J100" s="3">
        <f>IF(G100="","",ROUND(G100*20/1000,0))</f>
        <v/>
      </c>
      <c r="K100" s="1">
        <f>IF(F100="","",ROUND(F100*0.10,0))</f>
        <v/>
      </c>
      <c r="L100" s="3">
        <f>IF(K100="","",ROUND(K100*5/1000,0))</f>
        <v/>
      </c>
      <c r="M100" s="2">
        <f>IF(F100="","",ROUND(F100*$B$247,0))</f>
        <v/>
      </c>
      <c r="N100" s="1">
        <f>IF(M100="","",ROUND(M100*$B$248,0))</f>
        <v/>
      </c>
      <c r="O100">
        <f>IF(N100="","",ROUND(N100*$B$249,0))</f>
        <v/>
      </c>
      <c r="P100" s="3">
        <f>IF(O100="","",ROUND(O100*7.30,0))</f>
        <v/>
      </c>
      <c r="Q100" s="3">
        <f>IF(L100="","",L100+P100)</f>
        <v/>
      </c>
    </row>
    <row r="101">
      <c r="A101" s="1" t="inlineStr">
        <is>
          <t>Tier 3</t>
        </is>
      </c>
      <c r="B101" s="1" t="inlineStr">
        <is>
          <t>MO</t>
        </is>
      </c>
      <c r="C101" s="2" t="n"/>
      <c r="E101" s="1">
        <f>IFERROR(ROUND(C101/D101,0),"")</f>
        <v/>
      </c>
      <c r="F101" s="2">
        <f>IF(D101="","",D101*$B$244)</f>
        <v/>
      </c>
      <c r="G101" s="1">
        <f>IF(F101="","",ROUND(F101*$B$246,0))</f>
        <v/>
      </c>
      <c r="H101" s="3">
        <f>IF(G101="","",ROUND(G101*10/1000,0))</f>
        <v/>
      </c>
      <c r="I101" s="3">
        <f>IF(G101="","",ROUND(G101*15/1000,0))</f>
        <v/>
      </c>
      <c r="J101" s="3">
        <f>IF(G101="","",ROUND(G101*20/1000,0))</f>
        <v/>
      </c>
      <c r="K101" s="1">
        <f>IF(F101="","",ROUND(F101*0.10,0))</f>
        <v/>
      </c>
      <c r="L101" s="3">
        <f>IF(K101="","",ROUND(K101*5/1000,0))</f>
        <v/>
      </c>
      <c r="M101" s="2">
        <f>IF(F101="","",ROUND(F101*$B$247,0))</f>
        <v/>
      </c>
      <c r="N101">
        <f>IF(M101="","",ROUND(M101*$B$248,0))</f>
        <v/>
      </c>
      <c r="O101">
        <f>IF(N101="","",ROUND(N101*$B$249,0))</f>
        <v/>
      </c>
      <c r="P101" s="3">
        <f>IF(O101="","",ROUND(O101*7.30,0))</f>
        <v/>
      </c>
      <c r="Q101" s="3">
        <f>IF(L101="","",L101+P101)</f>
        <v/>
      </c>
    </row>
    <row r="102">
      <c r="A102" s="1" t="inlineStr">
        <is>
          <t>Tier 3</t>
        </is>
      </c>
      <c r="B102" s="1" t="inlineStr">
        <is>
          <t>XX</t>
        </is>
      </c>
      <c r="E102" s="1">
        <f>IFERROR(ROUND(C102/D102,0),"")</f>
        <v/>
      </c>
      <c r="F102" s="2">
        <f>IF(D102="","",D102*$B$244)</f>
        <v/>
      </c>
      <c r="G102" s="1">
        <f>IF(F102="","",ROUND(F102*$B$246,0))</f>
        <v/>
      </c>
      <c r="H102" s="3">
        <f>IF(G102="","",ROUND(G102*10/1000,0))</f>
        <v/>
      </c>
      <c r="I102" s="3">
        <f>IF(G102="","",ROUND(G102*15/1000,0))</f>
        <v/>
      </c>
      <c r="J102" s="3">
        <f>IF(G102="","",ROUND(G102*20/1000,0))</f>
        <v/>
      </c>
      <c r="K102" s="1">
        <f>IF(F102="","",ROUND(F102*0.10,0))</f>
        <v/>
      </c>
      <c r="L102" s="3">
        <f>IF(K102="","",ROUND(K102*5/1000,0))</f>
        <v/>
      </c>
      <c r="M102" s="2">
        <f>IF(F102="","",ROUND(F102*$B$247,0))</f>
        <v/>
      </c>
      <c r="N102">
        <f>IF(M102="","",ROUND(M102*$B$248,0))</f>
        <v/>
      </c>
      <c r="O102">
        <f>IF(N102="","",ROUND(N102*$B$249,0))</f>
        <v/>
      </c>
      <c r="P102" s="3">
        <f>IF(O102="","",ROUND(O102*7.30,0))</f>
        <v/>
      </c>
      <c r="Q102" s="3">
        <f>IF(L102="","",L102+P102)</f>
        <v/>
      </c>
    </row>
    <row r="103">
      <c r="A103" s="1" t="inlineStr">
        <is>
          <t>Tier 3</t>
        </is>
      </c>
      <c r="B103" s="1" t="inlineStr">
        <is>
          <t>DO</t>
        </is>
      </c>
      <c r="C103" s="2" t="n"/>
      <c r="E103" s="1">
        <f>IFERROR(ROUND(C103/D103,0),"")</f>
        <v/>
      </c>
      <c r="F103" s="2">
        <f>IF(D103="","",D103*$B$244)</f>
        <v/>
      </c>
      <c r="G103" s="1">
        <f>IF(F103="","",ROUND(F103*$B$246,0))</f>
        <v/>
      </c>
      <c r="H103" s="3">
        <f>IF(G103="","",ROUND(G103*10/1000,0))</f>
        <v/>
      </c>
      <c r="I103" s="3">
        <f>IF(G103="","",ROUND(G103*15/1000,0))</f>
        <v/>
      </c>
      <c r="J103" s="3">
        <f>IF(G103="","",ROUND(G103*20/1000,0))</f>
        <v/>
      </c>
      <c r="K103" s="1">
        <f>IF(F103="","",ROUND(F103*0.10,0))</f>
        <v/>
      </c>
      <c r="L103" s="3">
        <f>IF(K103="","",ROUND(K103*5/1000,0))</f>
        <v/>
      </c>
      <c r="M103" s="2">
        <f>IF(F103="","",ROUND(F103*$B$247,0))</f>
        <v/>
      </c>
      <c r="N103" s="1">
        <f>IF(M103="","",ROUND(M103*$B$248,0))</f>
        <v/>
      </c>
      <c r="O103">
        <f>IF(N103="","",ROUND(N103*$B$249,0))</f>
        <v/>
      </c>
      <c r="P103" s="3">
        <f>IF(O103="","",ROUND(O103*7.30,0))</f>
        <v/>
      </c>
      <c r="Q103" s="3">
        <f>IF(L103="","",L103+P103)</f>
        <v/>
      </c>
    </row>
    <row r="104">
      <c r="A104" s="1" t="inlineStr">
        <is>
          <t>Tier 3</t>
        </is>
      </c>
      <c r="B104" s="1" t="inlineStr">
        <is>
          <t>BH</t>
        </is>
      </c>
      <c r="C104" s="2" t="n"/>
      <c r="E104" s="1">
        <f>IFERROR(ROUND(C104/D104,0),"")</f>
        <v/>
      </c>
      <c r="F104" s="2">
        <f>IF(D104="","",D104*$B$244)</f>
        <v/>
      </c>
      <c r="G104" s="1">
        <f>IF(F104="","",ROUND(F104*$B$246,0))</f>
        <v/>
      </c>
      <c r="H104" s="3">
        <f>IF(G104="","",ROUND(G104*10/1000,0))</f>
        <v/>
      </c>
      <c r="I104" s="3">
        <f>IF(G104="","",ROUND(G104*15/1000,0))</f>
        <v/>
      </c>
      <c r="J104" s="3">
        <f>IF(G104="","",ROUND(G104*20/1000,0))</f>
        <v/>
      </c>
      <c r="K104" s="1">
        <f>IF(F104="","",ROUND(F104*0.10,0))</f>
        <v/>
      </c>
      <c r="L104" s="3">
        <f>IF(K104="","",ROUND(K104*5/1000,0))</f>
        <v/>
      </c>
      <c r="M104" s="2">
        <f>IF(F104="","",ROUND(F104*$B$247,0))</f>
        <v/>
      </c>
      <c r="N104" s="1">
        <f>IF(M104="","",ROUND(M104*$B$248,0))</f>
        <v/>
      </c>
      <c r="O104">
        <f>IF(N104="","",ROUND(N104*$B$249,0))</f>
        <v/>
      </c>
      <c r="P104" s="3">
        <f>IF(O104="","",ROUND(O104*7.30,0))</f>
        <v/>
      </c>
      <c r="Q104" s="3">
        <f>IF(L104="","",L104+P104)</f>
        <v/>
      </c>
    </row>
    <row r="105">
      <c r="A105" s="1" t="inlineStr">
        <is>
          <t>Tier 3</t>
        </is>
      </c>
      <c r="B105" s="1" t="inlineStr">
        <is>
          <t>CR</t>
        </is>
      </c>
      <c r="C105" s="2" t="n"/>
      <c r="E105" s="1">
        <f>IFERROR(ROUND(C105/D105,0),"")</f>
        <v/>
      </c>
      <c r="F105" s="2">
        <f>IF(D105="","",D105*$B$244)</f>
        <v/>
      </c>
      <c r="G105" s="1">
        <f>IF(F105="","",ROUND(F105*$B$246,0))</f>
        <v/>
      </c>
      <c r="H105" s="3">
        <f>IF(G105="","",ROUND(G105*10/1000,0))</f>
        <v/>
      </c>
      <c r="I105" s="3">
        <f>IF(G105="","",ROUND(G105*15/1000,0))</f>
        <v/>
      </c>
      <c r="J105" s="3">
        <f>IF(G105="","",ROUND(G105*20/1000,0))</f>
        <v/>
      </c>
      <c r="K105" s="1">
        <f>IF(F105="","",ROUND(F105*0.10,0))</f>
        <v/>
      </c>
      <c r="L105" s="3">
        <f>IF(K105="","",ROUND(K105*5/1000,0))</f>
        <v/>
      </c>
      <c r="M105" s="2">
        <f>IF(F105="","",ROUND(F105*$B$247,0))</f>
        <v/>
      </c>
      <c r="N105">
        <f>IF(M105="","",ROUND(M105*$B$248,0))</f>
        <v/>
      </c>
      <c r="O105">
        <f>IF(N105="","",ROUND(N105*$B$249,0))</f>
        <v/>
      </c>
      <c r="P105" s="3">
        <f>IF(O105="","",ROUND(O105*7.30,0))</f>
        <v/>
      </c>
      <c r="Q105" s="3">
        <f>IF(L105="","",L105+P105)</f>
        <v/>
      </c>
    </row>
    <row r="106">
      <c r="A106" s="1" t="inlineStr">
        <is>
          <t>Tier 3</t>
        </is>
      </c>
      <c r="B106" s="1" t="inlineStr">
        <is>
          <t>GT</t>
        </is>
      </c>
      <c r="C106" s="2" t="n"/>
      <c r="E106" s="1">
        <f>IFERROR(ROUND(C106/D106,0),"")</f>
        <v/>
      </c>
      <c r="F106" s="2">
        <f>IF(D106="","",D106*$B$244)</f>
        <v/>
      </c>
      <c r="G106" s="1">
        <f>IF(F106="","",ROUND(F106*$B$246,0))</f>
        <v/>
      </c>
      <c r="H106" s="3">
        <f>IF(G106="","",ROUND(G106*10/1000,0))</f>
        <v/>
      </c>
      <c r="I106" s="3">
        <f>IF(G106="","",ROUND(G106*15/1000,0))</f>
        <v/>
      </c>
      <c r="J106" s="3">
        <f>IF(G106="","",ROUND(G106*20/1000,0))</f>
        <v/>
      </c>
      <c r="K106" s="1">
        <f>IF(F106="","",ROUND(F106*0.10,0))</f>
        <v/>
      </c>
      <c r="L106" s="3">
        <f>IF(K106="","",ROUND(K106*5/1000,0))</f>
        <v/>
      </c>
      <c r="M106" s="2">
        <f>IF(F106="","",ROUND(F106*$B$247,0))</f>
        <v/>
      </c>
      <c r="N106" s="1">
        <f>IF(M106="","",ROUND(M106*$B$248,0))</f>
        <v/>
      </c>
      <c r="O106">
        <f>IF(N106="","",ROUND(N106*$B$249,0))</f>
        <v/>
      </c>
      <c r="P106" s="3">
        <f>IF(O106="","",ROUND(O106*7.30,0))</f>
        <v/>
      </c>
      <c r="Q106" s="3">
        <f>IF(L106="","",L106+P106)</f>
        <v/>
      </c>
    </row>
    <row r="107">
      <c r="A107" s="1" t="inlineStr">
        <is>
          <t>Tier 3</t>
        </is>
      </c>
      <c r="B107" s="1" t="inlineStr">
        <is>
          <t>PA</t>
        </is>
      </c>
      <c r="C107" s="2" t="n"/>
      <c r="E107" s="1">
        <f>IFERROR(ROUND(C107/D107,0),"")</f>
        <v/>
      </c>
      <c r="F107" s="2">
        <f>IF(D107="","",D107*$B$244)</f>
        <v/>
      </c>
      <c r="G107" s="1">
        <f>IF(F107="","",ROUND(F107*$B$246,0))</f>
        <v/>
      </c>
      <c r="H107" s="3">
        <f>IF(G107="","",ROUND(G107*10/1000,0))</f>
        <v/>
      </c>
      <c r="I107" s="3">
        <f>IF(G107="","",ROUND(G107*15/1000,0))</f>
        <v/>
      </c>
      <c r="J107" s="3">
        <f>IF(G107="","",ROUND(G107*20/1000,0))</f>
        <v/>
      </c>
      <c r="K107" s="1">
        <f>IF(F107="","",ROUND(F107*0.10,0))</f>
        <v/>
      </c>
      <c r="L107" s="3">
        <f>IF(K107="","",ROUND(K107*5/1000,0))</f>
        <v/>
      </c>
      <c r="M107" s="2">
        <f>IF(F107="","",ROUND(F107*$B$247,0))</f>
        <v/>
      </c>
      <c r="N107">
        <f>IF(M107="","",ROUND(M107*$B$248,0))</f>
        <v/>
      </c>
      <c r="O107">
        <f>IF(N107="","",ROUND(N107*$B$249,0))</f>
        <v/>
      </c>
      <c r="P107" s="3">
        <f>IF(O107="","",ROUND(O107*7.30,0))</f>
        <v/>
      </c>
      <c r="Q107" s="3">
        <f>IF(L107="","",L107+P107)</f>
        <v/>
      </c>
    </row>
    <row r="108">
      <c r="A108" s="1" t="inlineStr">
        <is>
          <t>Tier 3</t>
        </is>
      </c>
      <c r="B108" s="1" t="inlineStr">
        <is>
          <t>LK</t>
        </is>
      </c>
      <c r="C108" s="2" t="n"/>
      <c r="E108" s="1">
        <f>IFERROR(ROUND(C108/D108,0),"")</f>
        <v/>
      </c>
      <c r="F108" s="2">
        <f>IF(D108="","",D108*$B$244)</f>
        <v/>
      </c>
      <c r="G108" s="1">
        <f>IF(F108="","",ROUND(F108*$B$246,0))</f>
        <v/>
      </c>
      <c r="H108" s="3">
        <f>IF(G108="","",ROUND(G108*10/1000,0))</f>
        <v/>
      </c>
      <c r="I108" s="3">
        <f>IF(G108="","",ROUND(G108*15/1000,0))</f>
        <v/>
      </c>
      <c r="J108" s="3">
        <f>IF(G108="","",ROUND(G108*20/1000,0))</f>
        <v/>
      </c>
      <c r="K108" s="1">
        <f>IF(F108="","",ROUND(F108*0.10,0))</f>
        <v/>
      </c>
      <c r="L108" s="3">
        <f>IF(K108="","",ROUND(K108*5/1000,0))</f>
        <v/>
      </c>
      <c r="M108" s="2">
        <f>IF(F108="","",ROUND(F108*$B$247,0))</f>
        <v/>
      </c>
      <c r="N108" s="1">
        <f>IF(M108="","",ROUND(M108*$B$248,0))</f>
        <v/>
      </c>
      <c r="O108">
        <f>IF(N108="","",ROUND(N108*$B$249,0))</f>
        <v/>
      </c>
      <c r="P108" s="3">
        <f>IF(O108="","",ROUND(O108*7.30,0))</f>
        <v/>
      </c>
      <c r="Q108" s="3">
        <f>IF(L108="","",L108+P108)</f>
        <v/>
      </c>
    </row>
    <row r="109">
      <c r="A109" s="1" t="inlineStr">
        <is>
          <t>Tier 3</t>
        </is>
      </c>
      <c r="B109" s="1" t="inlineStr">
        <is>
          <t>NP</t>
        </is>
      </c>
      <c r="C109" s="2" t="n"/>
      <c r="E109" s="1">
        <f>IFERROR(ROUND(C109/D109,0),"")</f>
        <v/>
      </c>
      <c r="F109" s="2">
        <f>IF(D109="","",D109*$B$244)</f>
        <v/>
      </c>
      <c r="G109" s="1">
        <f>IF(F109="","",ROUND(F109*$B$246,0))</f>
        <v/>
      </c>
      <c r="H109" s="3">
        <f>IF(G109="","",ROUND(G109*10/1000,0))</f>
        <v/>
      </c>
      <c r="I109" s="3">
        <f>IF(G109="","",ROUND(G109*15/1000,0))</f>
        <v/>
      </c>
      <c r="J109" s="3">
        <f>IF(G109="","",ROUND(G109*20/1000,0))</f>
        <v/>
      </c>
      <c r="K109" s="1">
        <f>IF(F109="","",ROUND(F109*0.10,0))</f>
        <v/>
      </c>
      <c r="L109" s="3">
        <f>IF(K109="","",ROUND(K109*5/1000,0))</f>
        <v/>
      </c>
      <c r="M109" s="2">
        <f>IF(F109="","",ROUND(F109*$B$247,0))</f>
        <v/>
      </c>
      <c r="N109">
        <f>IF(M109="","",ROUND(M109*$B$248,0))</f>
        <v/>
      </c>
      <c r="O109">
        <f>IF(N109="","",ROUND(N109*$B$249,0))</f>
        <v/>
      </c>
      <c r="P109" s="3">
        <f>IF(O109="","",ROUND(O109*7.30,0))</f>
        <v/>
      </c>
      <c r="Q109" s="3">
        <f>IF(L109="","",L109+P109)</f>
        <v/>
      </c>
    </row>
    <row r="110">
      <c r="A110" s="1" t="inlineStr">
        <is>
          <t>Tier 3</t>
        </is>
      </c>
      <c r="B110" s="1" t="inlineStr">
        <is>
          <t>LY</t>
        </is>
      </c>
      <c r="C110" s="2" t="n"/>
      <c r="E110" s="1">
        <f>IFERROR(ROUND(C110/D110,0),"")</f>
        <v/>
      </c>
      <c r="F110" s="2">
        <f>IF(D110="","",D110*$B$244)</f>
        <v/>
      </c>
      <c r="G110" s="1">
        <f>IF(F110="","",ROUND(F110*$B$246,0))</f>
        <v/>
      </c>
      <c r="H110" s="3">
        <f>IF(G110="","",ROUND(G110*10/1000,0))</f>
        <v/>
      </c>
      <c r="I110" s="3">
        <f>IF(G110="","",ROUND(G110*15/1000,0))</f>
        <v/>
      </c>
      <c r="J110" s="3">
        <f>IF(G110="","",ROUND(G110*20/1000,0))</f>
        <v/>
      </c>
      <c r="K110" s="1">
        <f>IF(F110="","",ROUND(F110*0.10,0))</f>
        <v/>
      </c>
      <c r="L110" s="3">
        <f>IF(K110="","",ROUND(K110*5/1000,0))</f>
        <v/>
      </c>
      <c r="M110" s="2">
        <f>IF(F110="","",ROUND(F110*$B$247,0))</f>
        <v/>
      </c>
      <c r="N110" s="1">
        <f>IF(M110="","",ROUND(M110*$B$248,0))</f>
        <v/>
      </c>
      <c r="O110">
        <f>IF(N110="","",ROUND(N110*$B$249,0))</f>
        <v/>
      </c>
      <c r="P110" s="3">
        <f>IF(O110="","",ROUND(O110*7.30,0))</f>
        <v/>
      </c>
      <c r="Q110" s="3">
        <f>IF(L110="","",L110+P110)</f>
        <v/>
      </c>
    </row>
    <row r="111">
      <c r="A111" s="1" t="inlineStr">
        <is>
          <t>Tier 3</t>
        </is>
      </c>
      <c r="B111" s="1" t="inlineStr">
        <is>
          <t>AX</t>
        </is>
      </c>
      <c r="C111" s="2" t="n"/>
      <c r="E111" s="1">
        <f>IFERROR(ROUND(C111/D111,0),"")</f>
        <v/>
      </c>
      <c r="F111" s="2">
        <f>IF(D111="","",D111*$B$244)</f>
        <v/>
      </c>
      <c r="G111" s="1">
        <f>IF(F111="","",ROUND(F111*$B$246,0))</f>
        <v/>
      </c>
      <c r="H111" s="3">
        <f>IF(G111="","",ROUND(G111*10/1000,0))</f>
        <v/>
      </c>
      <c r="I111" s="3">
        <f>IF(G111="","",ROUND(G111*15/1000,0))</f>
        <v/>
      </c>
      <c r="J111" s="3">
        <f>IF(G111="","",ROUND(G111*20/1000,0))</f>
        <v/>
      </c>
      <c r="K111" s="1">
        <f>IF(F111="","",ROUND(F111*0.10,0))</f>
        <v/>
      </c>
      <c r="L111" s="3">
        <f>IF(K111="","",ROUND(K111*5/1000,0))</f>
        <v/>
      </c>
      <c r="M111" s="2">
        <f>IF(F111="","",ROUND(F111*$B$247,0))</f>
        <v/>
      </c>
      <c r="N111" s="1">
        <f>IF(M111="","",ROUND(M111*$B$248,0))</f>
        <v/>
      </c>
      <c r="O111">
        <f>IF(N111="","",ROUND(N111*$B$249,0))</f>
        <v/>
      </c>
      <c r="P111" s="3">
        <f>IF(O111="","",ROUND(O111*7.30,0))</f>
        <v/>
      </c>
      <c r="Q111" s="3">
        <f>IF(L111="","",L111+P111)</f>
        <v/>
      </c>
    </row>
    <row r="112">
      <c r="A112" s="1" t="inlineStr">
        <is>
          <t>Tier 3</t>
        </is>
      </c>
      <c r="B112" s="1" t="inlineStr">
        <is>
          <t>FO</t>
        </is>
      </c>
      <c r="E112" s="1">
        <f>IFERROR(ROUND(C112/D112,0),"")</f>
        <v/>
      </c>
      <c r="F112" s="2">
        <f>IF(D112="","",D112*$B$244)</f>
        <v/>
      </c>
      <c r="G112" s="1">
        <f>IF(F112="","",ROUND(F112*$B$246,0))</f>
        <v/>
      </c>
      <c r="H112" s="3">
        <f>IF(G112="","",ROUND(G112*10/1000,0))</f>
        <v/>
      </c>
      <c r="I112" s="3">
        <f>IF(G112="","",ROUND(G112*15/1000,0))</f>
        <v/>
      </c>
      <c r="J112" s="3">
        <f>IF(G112="","",ROUND(G112*20/1000,0))</f>
        <v/>
      </c>
      <c r="K112" s="1">
        <f>IF(F112="","",ROUND(F112*0.10,0))</f>
        <v/>
      </c>
      <c r="L112" s="3">
        <f>IF(K112="","",ROUND(K112*5/1000,0))</f>
        <v/>
      </c>
      <c r="M112" s="2">
        <f>IF(F112="","",ROUND(F112*$B$247,0))</f>
        <v/>
      </c>
      <c r="N112">
        <f>IF(M112="","",ROUND(M112*$B$248,0))</f>
        <v/>
      </c>
      <c r="O112">
        <f>IF(N112="","",ROUND(N112*$B$249,0))</f>
        <v/>
      </c>
      <c r="P112" s="3">
        <f>IF(O112="","",ROUND(O112*7.30,0))</f>
        <v/>
      </c>
      <c r="Q112" s="3">
        <f>IF(L112="","",L112+P112)</f>
        <v/>
      </c>
    </row>
    <row r="113">
      <c r="A113" s="1" t="inlineStr">
        <is>
          <t>Tier 3</t>
        </is>
      </c>
      <c r="B113" s="1" t="inlineStr">
        <is>
          <t>JE</t>
        </is>
      </c>
      <c r="E113" s="1">
        <f>IFERROR(ROUND(C113/D113,0),"")</f>
        <v/>
      </c>
      <c r="F113" s="2">
        <f>IF(D113="","",D113*$B$244)</f>
        <v/>
      </c>
      <c r="G113" s="1">
        <f>IF(F113="","",ROUND(F113*$B$246,0))</f>
        <v/>
      </c>
      <c r="H113" s="3">
        <f>IF(G113="","",ROUND(G113*10/1000,0))</f>
        <v/>
      </c>
      <c r="I113" s="3">
        <f>IF(G113="","",ROUND(G113*15/1000,0))</f>
        <v/>
      </c>
      <c r="J113" s="3">
        <f>IF(G113="","",ROUND(G113*20/1000,0))</f>
        <v/>
      </c>
      <c r="K113" s="1">
        <f>IF(F113="","",ROUND(F113*0.10,0))</f>
        <v/>
      </c>
      <c r="L113" s="3">
        <f>IF(K113="","",ROUND(K113*5/1000,0))</f>
        <v/>
      </c>
      <c r="M113" s="1">
        <f>IF(F113="","",ROUND(F113*$B$247,0))</f>
        <v/>
      </c>
      <c r="N113">
        <f>IF(M113="","",ROUND(M113*$B$248,0))</f>
        <v/>
      </c>
      <c r="O113">
        <f>IF(N113="","",ROUND(N113*$B$249,0))</f>
        <v/>
      </c>
      <c r="P113" s="3">
        <f>IF(O113="","",ROUND(O113*7.30,0))</f>
        <v/>
      </c>
      <c r="Q113" s="3">
        <f>IF(L113="","",L113+P113)</f>
        <v/>
      </c>
    </row>
    <row r="114">
      <c r="A114" s="1" t="inlineStr">
        <is>
          <t>Tier 3</t>
        </is>
      </c>
      <c r="B114" s="1" t="inlineStr">
        <is>
          <t>PR</t>
        </is>
      </c>
      <c r="E114" s="1">
        <f>IFERROR(ROUND(C114/D114,0),"")</f>
        <v/>
      </c>
      <c r="F114" s="1">
        <f>IF(D114="","",D114*$B$244)</f>
        <v/>
      </c>
      <c r="G114" s="1">
        <f>IF(F114="","",ROUND(F114*$B$246,0))</f>
        <v/>
      </c>
      <c r="H114" s="3">
        <f>IF(G114="","",ROUND(G114*10/1000,0))</f>
        <v/>
      </c>
      <c r="I114" s="3">
        <f>IF(G114="","",ROUND(G114*15/1000,0))</f>
        <v/>
      </c>
      <c r="J114" s="3">
        <f>IF(G114="","",ROUND(G114*20/1000,0))</f>
        <v/>
      </c>
      <c r="K114" s="1">
        <f>IF(F114="","",ROUND(F114*0.10,0))</f>
        <v/>
      </c>
      <c r="L114" s="3">
        <f>IF(K114="","",ROUND(K114*5/1000,0))</f>
        <v/>
      </c>
      <c r="M114" s="1">
        <f>IF(F114="","",ROUND(F114*$B$247,0))</f>
        <v/>
      </c>
      <c r="N114">
        <f>IF(M114="","",ROUND(M114*$B$248,0))</f>
        <v/>
      </c>
      <c r="O114">
        <f>IF(N114="","",ROUND(N114*$B$249,0))</f>
        <v/>
      </c>
      <c r="P114" s="3">
        <f>IF(O114="","",ROUND(O114*7.30,0))</f>
        <v/>
      </c>
      <c r="Q114" s="3">
        <f>IF(L114="","",L114+P114)</f>
        <v/>
      </c>
    </row>
    <row r="115">
      <c r="A115" s="1" t="inlineStr">
        <is>
          <t>Tier 3</t>
        </is>
      </c>
      <c r="B115" s="1" t="inlineStr">
        <is>
          <t>AD</t>
        </is>
      </c>
      <c r="E115" s="1">
        <f>IFERROR(ROUND(C115/D115,0),"")</f>
        <v/>
      </c>
      <c r="F115" s="1">
        <f>IF(D115="","",D115*$B$244)</f>
        <v/>
      </c>
      <c r="G115" s="1">
        <f>IF(F115="","",ROUND(F115*$B$246,0))</f>
        <v/>
      </c>
      <c r="H115" s="3">
        <f>IF(G115="","",ROUND(G115*10/1000,0))</f>
        <v/>
      </c>
      <c r="I115" s="3">
        <f>IF(G115="","",ROUND(G115*15/1000,0))</f>
        <v/>
      </c>
      <c r="J115" s="3">
        <f>IF(G115="","",ROUND(G115*20/1000,0))</f>
        <v/>
      </c>
      <c r="K115" s="1">
        <f>IF(F115="","",ROUND(F115*0.10,0))</f>
        <v/>
      </c>
      <c r="L115" s="3">
        <f>IF(K115="","",ROUND(K115*5/1000,0))</f>
        <v/>
      </c>
      <c r="M115" s="1">
        <f>IF(F115="","",ROUND(F115*$B$247,0))</f>
        <v/>
      </c>
      <c r="N115">
        <f>IF(M115="","",ROUND(M115*$B$248,0))</f>
        <v/>
      </c>
      <c r="O115">
        <f>IF(N115="","",ROUND(N115*$B$249,0))</f>
        <v/>
      </c>
      <c r="P115" s="3">
        <f>IF(O115="","",ROUND(O115*7.30,0))</f>
        <v/>
      </c>
      <c r="Q115" s="3">
        <f>IF(L115="","",L115+P115)</f>
        <v/>
      </c>
    </row>
    <row r="116">
      <c r="A116" s="1" t="inlineStr">
        <is>
          <t>Tier 3</t>
        </is>
      </c>
      <c r="B116" s="1" t="inlineStr">
        <is>
          <t>GL</t>
        </is>
      </c>
      <c r="E116" s="1">
        <f>IFERROR(ROUND(C116/D116,0),"")</f>
        <v/>
      </c>
      <c r="F116" s="1">
        <f>IF(D116="","",D116*$B$244)</f>
        <v/>
      </c>
      <c r="G116" s="1">
        <f>IF(F116="","",ROUND(F116*$B$246,0))</f>
        <v/>
      </c>
      <c r="H116" s="3">
        <f>IF(G116="","",ROUND(G116*10/1000,0))</f>
        <v/>
      </c>
      <c r="I116" s="3">
        <f>IF(G116="","",ROUND(G116*15/1000,0))</f>
        <v/>
      </c>
      <c r="J116" s="3">
        <f>IF(G116="","",ROUND(G116*20/1000,0))</f>
        <v/>
      </c>
      <c r="K116" s="1">
        <f>IF(F116="","",ROUND(F116*0.10,0))</f>
        <v/>
      </c>
      <c r="L116" s="3">
        <f>IF(K116="","",ROUND(K116*5/1000,0))</f>
        <v/>
      </c>
      <c r="M116" s="1">
        <f>IF(F116="","",ROUND(F116*$B$247,0))</f>
        <v/>
      </c>
      <c r="N116">
        <f>IF(M116="","",ROUND(M116*$B$248,0))</f>
        <v/>
      </c>
      <c r="O116">
        <f>IF(N116="","",ROUND(N116*$B$249,0))</f>
        <v/>
      </c>
      <c r="P116" s="3">
        <f>IF(O116="","",ROUND(O116*7.30,0))</f>
        <v/>
      </c>
      <c r="Q116" s="3">
        <f>IF(L116="","",L116+P116)</f>
        <v/>
      </c>
    </row>
    <row r="117">
      <c r="A117" s="1" t="inlineStr">
        <is>
          <t>Tier 3</t>
        </is>
      </c>
      <c r="B117" s="1" t="inlineStr">
        <is>
          <t>MU</t>
        </is>
      </c>
      <c r="E117" s="1">
        <f>IFERROR(ROUND(C117/D117,0),"")</f>
        <v/>
      </c>
      <c r="F117" s="1">
        <f>IF(D117="","",D117*$B$244)</f>
        <v/>
      </c>
      <c r="G117" s="1">
        <f>IF(F117="","",ROUND(F117*$B$246,0))</f>
        <v/>
      </c>
      <c r="H117" s="3">
        <f>IF(G117="","",ROUND(G117*10/1000,0))</f>
        <v/>
      </c>
      <c r="I117" s="3">
        <f>IF(G117="","",ROUND(G117*15/1000,0))</f>
        <v/>
      </c>
      <c r="J117" s="3">
        <f>IF(G117="","",ROUND(G117*20/1000,0))</f>
        <v/>
      </c>
      <c r="K117" s="1">
        <f>IF(F117="","",ROUND(F117*0.10,0))</f>
        <v/>
      </c>
      <c r="L117" s="3">
        <f>IF(K117="","",ROUND(K117*5/1000,0))</f>
        <v/>
      </c>
      <c r="M117" s="1">
        <f>IF(F117="","",ROUND(F117*$B$247,0))</f>
        <v/>
      </c>
      <c r="N117">
        <f>IF(M117="","",ROUND(M117*$B$248,0))</f>
        <v/>
      </c>
      <c r="O117">
        <f>IF(N117="","",ROUND(N117*$B$249,0))</f>
        <v/>
      </c>
      <c r="P117" s="3">
        <f>IF(O117="","",ROUND(O117*7.30,0))</f>
        <v/>
      </c>
      <c r="Q117" s="3">
        <f>IF(L117="","",L117+P117)</f>
        <v/>
      </c>
    </row>
    <row r="118">
      <c r="A118" s="1" t="inlineStr">
        <is>
          <t>Tier 3</t>
        </is>
      </c>
      <c r="B118" s="1" t="inlineStr">
        <is>
          <t>SV</t>
        </is>
      </c>
      <c r="E118" s="1">
        <f>IFERROR(ROUND(C118/D118,0),"")</f>
        <v/>
      </c>
      <c r="F118" s="1">
        <f>IF(D118="","",D118*$B$244)</f>
        <v/>
      </c>
      <c r="G118" s="1">
        <f>IF(F118="","",ROUND(F118*$B$246,0))</f>
        <v/>
      </c>
      <c r="H118" s="3">
        <f>IF(G118="","",ROUND(G118*10/1000,0))</f>
        <v/>
      </c>
      <c r="I118" s="3">
        <f>IF(G118="","",ROUND(G118*15/1000,0))</f>
        <v/>
      </c>
      <c r="J118" s="3">
        <f>IF(G118="","",ROUND(G118*20/1000,0))</f>
        <v/>
      </c>
      <c r="K118" s="1">
        <f>IF(F118="","",ROUND(F118*0.10,0))</f>
        <v/>
      </c>
      <c r="L118" s="3">
        <f>IF(K118="","",ROUND(K118*5/1000,0))</f>
        <v/>
      </c>
      <c r="M118" s="1">
        <f>IF(F118="","",ROUND(F118*$B$247,0))</f>
        <v/>
      </c>
      <c r="N118">
        <f>IF(M118="","",ROUND(M118*$B$248,0))</f>
        <v/>
      </c>
      <c r="O118">
        <f>IF(N118="","",ROUND(N118*$B$249,0))</f>
        <v/>
      </c>
      <c r="P118" s="3">
        <f>IF(O118="","",ROUND(O118*7.30,0))</f>
        <v/>
      </c>
      <c r="Q118" s="3">
        <f>IF(L118="","",L118+P118)</f>
        <v/>
      </c>
    </row>
    <row r="119">
      <c r="A119" s="1" t="inlineStr">
        <is>
          <t>Tier 3</t>
        </is>
      </c>
      <c r="B119" s="1" t="inlineStr">
        <is>
          <t>RE</t>
        </is>
      </c>
      <c r="E119" s="1">
        <f>IFERROR(ROUND(C119/D119,0),"")</f>
        <v/>
      </c>
      <c r="F119" s="1">
        <f>IF(D119="","",D119*$B$244)</f>
        <v/>
      </c>
      <c r="G119" s="1">
        <f>IF(F119="","",ROUND(F119*$B$246,0))</f>
        <v/>
      </c>
      <c r="H119" s="3">
        <f>IF(G119="","",ROUND(G119*10/1000,0))</f>
        <v/>
      </c>
      <c r="I119" s="3">
        <f>IF(G119="","",ROUND(G119*15/1000,0))</f>
        <v/>
      </c>
      <c r="J119" s="3">
        <f>IF(G119="","",ROUND(G119*20/1000,0))</f>
        <v/>
      </c>
      <c r="K119" s="1">
        <f>IF(F119="","",ROUND(F119*0.10,0))</f>
        <v/>
      </c>
      <c r="L119" s="3">
        <f>IF(K119="","",ROUND(K119*5/1000,0))</f>
        <v/>
      </c>
      <c r="M119" s="1">
        <f>IF(F119="","",ROUND(F119*$B$247,0))</f>
        <v/>
      </c>
      <c r="N119">
        <f>IF(M119="","",ROUND(M119*$B$248,0))</f>
        <v/>
      </c>
      <c r="O119">
        <f>IF(N119="","",ROUND(N119*$B$249,0))</f>
        <v/>
      </c>
      <c r="P119" s="3">
        <f>IF(O119="","",ROUND(O119*7.30,0))</f>
        <v/>
      </c>
      <c r="Q119" s="3">
        <f>IF(L119="","",L119+P119)</f>
        <v/>
      </c>
    </row>
    <row r="120">
      <c r="A120" s="1" t="inlineStr">
        <is>
          <t>Tier 3</t>
        </is>
      </c>
      <c r="B120" s="1" t="inlineStr">
        <is>
          <t>HN</t>
        </is>
      </c>
      <c r="E120" s="1">
        <f>IFERROR(ROUND(C120/D120,0),"")</f>
        <v/>
      </c>
      <c r="F120" s="1">
        <f>IF(D120="","",D120*$B$244)</f>
        <v/>
      </c>
      <c r="G120" s="1">
        <f>IF(F120="","",ROUND(F120*$B$246,0))</f>
        <v/>
      </c>
      <c r="H120" s="3">
        <f>IF(G120="","",ROUND(G120*10/1000,0))</f>
        <v/>
      </c>
      <c r="I120" s="3">
        <f>IF(G120="","",ROUND(G120*15/1000,0))</f>
        <v/>
      </c>
      <c r="J120" s="3">
        <f>IF(G120="","",ROUND(G120*20/1000,0))</f>
        <v/>
      </c>
      <c r="K120" s="1">
        <f>IF(F120="","",ROUND(F120*0.10,0))</f>
        <v/>
      </c>
      <c r="L120" s="3">
        <f>IF(K120="","",ROUND(K120*5/1000,0))</f>
        <v/>
      </c>
      <c r="M120" s="1">
        <f>IF(F120="","",ROUND(F120*$B$247,0))</f>
        <v/>
      </c>
      <c r="N120">
        <f>IF(M120="","",ROUND(M120*$B$248,0))</f>
        <v/>
      </c>
      <c r="O120">
        <f>IF(N120="","",ROUND(N120*$B$249,0))</f>
        <v/>
      </c>
      <c r="P120" s="3">
        <f>IF(O120="","",ROUND(O120*7.30,0))</f>
        <v/>
      </c>
      <c r="Q120" s="3">
        <f>IF(L120="","",L120+P120)</f>
        <v/>
      </c>
    </row>
    <row r="121">
      <c r="A121" s="1" t="inlineStr">
        <is>
          <t>Tier 3</t>
        </is>
      </c>
      <c r="B121" s="1" t="inlineStr">
        <is>
          <t>IM</t>
        </is>
      </c>
      <c r="E121" s="1">
        <f>IFERROR(ROUND(C121/D121,0),"")</f>
        <v/>
      </c>
      <c r="F121" s="1">
        <f>IF(D121="","",D121*$B$244)</f>
        <v/>
      </c>
      <c r="G121" s="1">
        <f>IF(F121="","",ROUND(F121*$B$246,0))</f>
        <v/>
      </c>
      <c r="H121" s="3">
        <f>IF(G121="","",ROUND(G121*10/1000,0))</f>
        <v/>
      </c>
      <c r="I121" s="3">
        <f>IF(G121="","",ROUND(G121*15/1000,0))</f>
        <v/>
      </c>
      <c r="J121" s="3">
        <f>IF(G121="","",ROUND(G121*20/1000,0))</f>
        <v/>
      </c>
      <c r="K121" s="1">
        <f>IF(F121="","",ROUND(F121*0.10,0))</f>
        <v/>
      </c>
      <c r="L121" s="3">
        <f>IF(K121="","",ROUND(K121*5/1000,0))</f>
        <v/>
      </c>
      <c r="M121" s="1">
        <f>IF(F121="","",ROUND(F121*$B$247,0))</f>
        <v/>
      </c>
      <c r="N121">
        <f>IF(M121="","",ROUND(M121*$B$248,0))</f>
        <v/>
      </c>
      <c r="O121">
        <f>IF(N121="","",ROUND(N121*$B$249,0))</f>
        <v/>
      </c>
      <c r="P121" s="3">
        <f>IF(O121="","",ROUND(O121*7.30,0))</f>
        <v/>
      </c>
      <c r="Q121" s="3">
        <f>IF(L121="","",L121+P121)</f>
        <v/>
      </c>
    </row>
    <row r="122">
      <c r="A122" s="1" t="inlineStr">
        <is>
          <t>Tier 3</t>
        </is>
      </c>
      <c r="B122" s="1" t="inlineStr">
        <is>
          <t>LA</t>
        </is>
      </c>
      <c r="E122" s="1">
        <f>IFERROR(ROUND(C122/D122,0),"")</f>
        <v/>
      </c>
      <c r="F122" s="1">
        <f>IF(D122="","",D122*$B$244)</f>
        <v/>
      </c>
      <c r="G122" s="1">
        <f>IF(F122="","",ROUND(F122*$B$246,0))</f>
        <v/>
      </c>
      <c r="H122" s="3">
        <f>IF(G122="","",ROUND(G122*10/1000,0))</f>
        <v/>
      </c>
      <c r="I122" s="3">
        <f>IF(G122="","",ROUND(G122*15/1000,0))</f>
        <v/>
      </c>
      <c r="J122" s="3">
        <f>IF(G122="","",ROUND(G122*20/1000,0))</f>
        <v/>
      </c>
      <c r="K122" s="1">
        <f>IF(F122="","",ROUND(F122*0.10,0))</f>
        <v/>
      </c>
      <c r="L122" s="3">
        <f>IF(K122="","",ROUND(K122*5/1000,0))</f>
        <v/>
      </c>
      <c r="M122" s="1">
        <f>IF(F122="","",ROUND(F122*$B$247,0))</f>
        <v/>
      </c>
      <c r="N122">
        <f>IF(M122="","",ROUND(M122*$B$248,0))</f>
        <v/>
      </c>
      <c r="O122">
        <f>IF(N122="","",ROUND(N122*$B$249,0))</f>
        <v/>
      </c>
      <c r="P122" s="3">
        <f>IF(O122="","",ROUND(O122*7.30,0))</f>
        <v/>
      </c>
      <c r="Q122" s="3">
        <f>IF(L122="","",L122+P122)</f>
        <v/>
      </c>
    </row>
    <row r="123">
      <c r="A123" s="1" t="inlineStr">
        <is>
          <t>Tier 3</t>
        </is>
      </c>
      <c r="B123" s="1" t="inlineStr">
        <is>
          <t>MV</t>
        </is>
      </c>
      <c r="E123" s="1">
        <f>IFERROR(ROUND(C123/D123,0),"")</f>
        <v/>
      </c>
      <c r="F123" s="1">
        <f>IF(D123="","",D123*$B$244)</f>
        <v/>
      </c>
      <c r="G123" s="1">
        <f>IF(F123="","",ROUND(F123*$B$246,0))</f>
        <v/>
      </c>
      <c r="H123" s="3">
        <f>IF(G123="","",ROUND(G123*10/1000,0))</f>
        <v/>
      </c>
      <c r="I123" s="3">
        <f>IF(G123="","",ROUND(G123*15/1000,0))</f>
        <v/>
      </c>
      <c r="J123" s="3">
        <f>IF(G123="","",ROUND(G123*20/1000,0))</f>
        <v/>
      </c>
      <c r="K123" s="1">
        <f>IF(F123="","",ROUND(F123*0.10,0))</f>
        <v/>
      </c>
      <c r="L123" s="3">
        <f>IF(K123="","",ROUND(K123*5/1000,0))</f>
        <v/>
      </c>
      <c r="M123" s="1">
        <f>IF(F123="","",ROUND(F123*$B$247,0))</f>
        <v/>
      </c>
      <c r="N123">
        <f>IF(M123="","",ROUND(M123*$B$248,0))</f>
        <v/>
      </c>
      <c r="O123">
        <f>IF(N123="","",ROUND(N123*$B$249,0))</f>
        <v/>
      </c>
      <c r="P123" s="3">
        <f>IF(O123="","",ROUND(O123*7.30,0))</f>
        <v/>
      </c>
      <c r="Q123" s="3">
        <f>IF(L123="","",L123+P123)</f>
        <v/>
      </c>
    </row>
    <row r="124">
      <c r="A124" s="1" t="inlineStr">
        <is>
          <t>Tier 3</t>
        </is>
      </c>
      <c r="B124" s="1" t="inlineStr">
        <is>
          <t>NC</t>
        </is>
      </c>
      <c r="E124" s="1">
        <f>IFERROR(ROUND(C124/D124,0),"")</f>
        <v/>
      </c>
      <c r="F124" s="1">
        <f>IF(D124="","",D124*$B$244)</f>
        <v/>
      </c>
      <c r="G124" s="1">
        <f>IF(F124="","",ROUND(F124*$B$246,0))</f>
        <v/>
      </c>
      <c r="H124" s="3">
        <f>IF(G124="","",ROUND(G124*10/1000,0))</f>
        <v/>
      </c>
      <c r="I124" s="3">
        <f>IF(G124="","",ROUND(G124*15/1000,0))</f>
        <v/>
      </c>
      <c r="J124" s="3">
        <f>IF(G124="","",ROUND(G124*20/1000,0))</f>
        <v/>
      </c>
      <c r="K124" s="1">
        <f>IF(F124="","",ROUND(F124*0.10,0))</f>
        <v/>
      </c>
      <c r="L124" s="3">
        <f>IF(K124="","",ROUND(K124*5/1000,0))</f>
        <v/>
      </c>
      <c r="M124" s="1">
        <f>IF(F124="","",ROUND(F124*$B$247,0))</f>
        <v/>
      </c>
      <c r="N124">
        <f>IF(M124="","",ROUND(M124*$B$248,0))</f>
        <v/>
      </c>
      <c r="O124">
        <f>IF(N124="","",ROUND(N124*$B$249,0))</f>
        <v/>
      </c>
      <c r="P124" s="3">
        <f>IF(O124="","",ROUND(O124*7.30,0))</f>
        <v/>
      </c>
      <c r="Q124" s="3">
        <f>IF(L124="","",L124+P124)</f>
        <v/>
      </c>
    </row>
    <row r="125">
      <c r="A125" s="1" t="inlineStr">
        <is>
          <t>Tier 3</t>
        </is>
      </c>
      <c r="B125" s="1" t="inlineStr">
        <is>
          <t>pl</t>
        </is>
      </c>
      <c r="E125" s="1">
        <f>IFERROR(ROUND(C125/D125,0),"")</f>
        <v/>
      </c>
      <c r="F125" s="1">
        <f>IF(D125="","",D125*$B$244)</f>
        <v/>
      </c>
      <c r="G125" s="1">
        <f>IF(F125="","",ROUND(F125*$B$246,0))</f>
        <v/>
      </c>
      <c r="H125" s="3">
        <f>IF(G125="","",ROUND(G125*10/1000,0))</f>
        <v/>
      </c>
      <c r="I125" s="3">
        <f>IF(G125="","",ROUND(G125*15/1000,0))</f>
        <v/>
      </c>
      <c r="J125" s="3">
        <f>IF(G125="","",ROUND(G125*20/1000,0))</f>
        <v/>
      </c>
      <c r="K125" s="1">
        <f>IF(F125="","",ROUND(F125*0.10,0))</f>
        <v/>
      </c>
      <c r="L125" s="3">
        <f>IF(K125="","",ROUND(K125*5/1000,0))</f>
        <v/>
      </c>
      <c r="M125" s="1">
        <f>IF(F125="","",ROUND(F125*$B$247,0))</f>
        <v/>
      </c>
      <c r="N125">
        <f>IF(M125="","",ROUND(M125*$B$248,0))</f>
        <v/>
      </c>
      <c r="O125">
        <f>IF(N125="","",ROUND(N125*$B$249,0))</f>
        <v/>
      </c>
      <c r="P125" s="3">
        <f>IF(O125="","",ROUND(O125*7.30,0))</f>
        <v/>
      </c>
      <c r="Q125" s="3">
        <f>IF(L125="","",L125+P125)</f>
        <v/>
      </c>
    </row>
    <row r="126">
      <c r="A126" s="1" t="inlineStr">
        <is>
          <t>Tier 3</t>
        </is>
      </c>
      <c r="B126" s="1" t="inlineStr">
        <is>
          <t>MC</t>
        </is>
      </c>
      <c r="E126" s="1">
        <f>IFERROR(ROUND(C126/D126,0),"")</f>
        <v/>
      </c>
      <c r="F126" s="1">
        <f>IF(D126="","",D126*$B$244)</f>
        <v/>
      </c>
      <c r="G126" s="1">
        <f>IF(F126="","",ROUND(F126*$B$246,0))</f>
        <v/>
      </c>
      <c r="H126" s="3">
        <f>IF(G126="","",ROUND(G126*10/1000,0))</f>
        <v/>
      </c>
      <c r="I126" s="3">
        <f>IF(G126="","",ROUND(G126*15/1000,0))</f>
        <v/>
      </c>
      <c r="J126" s="3">
        <f>IF(G126="","",ROUND(G126*20/1000,0))</f>
        <v/>
      </c>
      <c r="K126" s="1">
        <f>IF(F126="","",ROUND(F126*0.10,0))</f>
        <v/>
      </c>
      <c r="L126" s="3">
        <f>IF(K126="","",ROUND(K126*5/1000,0))</f>
        <v/>
      </c>
      <c r="M126" s="1">
        <f>IF(F126="","",ROUND(F126*$B$247,0))</f>
        <v/>
      </c>
      <c r="N126">
        <f>IF(M126="","",ROUND(M126*$B$248,0))</f>
        <v/>
      </c>
      <c r="O126">
        <f>IF(N126="","",ROUND(N126*$B$249,0))</f>
        <v/>
      </c>
      <c r="P126" s="3">
        <f>IF(O126="","",ROUND(O126*7.30,0))</f>
        <v/>
      </c>
      <c r="Q126" s="3">
        <f>IF(L126="","",L126+P126)</f>
        <v/>
      </c>
    </row>
    <row r="127">
      <c r="A127" s="1" t="inlineStr">
        <is>
          <t>Tier 3</t>
        </is>
      </c>
      <c r="B127" s="1" t="inlineStr">
        <is>
          <t>us</t>
        </is>
      </c>
      <c r="E127" s="1">
        <f>IFERROR(ROUND(C127/D127,0),"")</f>
        <v/>
      </c>
      <c r="F127" s="1">
        <f>IF(D127="","",D127*$B$244)</f>
        <v/>
      </c>
      <c r="G127" s="1">
        <f>IF(F127="","",ROUND(F127*$B$246,0))</f>
        <v/>
      </c>
      <c r="H127" s="3">
        <f>IF(G127="","",ROUND(G127*10/1000,0))</f>
        <v/>
      </c>
      <c r="I127" s="3">
        <f>IF(G127="","",ROUND(G127*15/1000,0))</f>
        <v/>
      </c>
      <c r="J127" s="3">
        <f>IF(G127="","",ROUND(G127*20/1000,0))</f>
        <v/>
      </c>
      <c r="K127" s="1">
        <f>IF(F127="","",ROUND(F127*0.10,0))</f>
        <v/>
      </c>
      <c r="L127" s="3">
        <f>IF(K127="","",ROUND(K127*5/1000,0))</f>
        <v/>
      </c>
      <c r="M127" s="1">
        <f>IF(F127="","",ROUND(F127*$B$247,0))</f>
        <v/>
      </c>
      <c r="N127">
        <f>IF(M127="","",ROUND(M127*$B$248,0))</f>
        <v/>
      </c>
      <c r="O127">
        <f>IF(N127="","",ROUND(N127*$B$249,0))</f>
        <v/>
      </c>
      <c r="P127" s="3">
        <f>IF(O127="","",ROUND(O127*7.30,0))</f>
        <v/>
      </c>
      <c r="Q127" s="3">
        <f>IF(L127="","",L127+P127)</f>
        <v/>
      </c>
    </row>
    <row r="128">
      <c r="A128" s="1" t="inlineStr">
        <is>
          <t>Tier 3</t>
        </is>
      </c>
      <c r="B128" s="1" t="inlineStr">
        <is>
          <t>T1</t>
        </is>
      </c>
      <c r="E128" s="1">
        <f>IFERROR(ROUND(C128/D128,0),"")</f>
        <v/>
      </c>
      <c r="F128" s="1">
        <f>IF(D128="","",D128*$B$244)</f>
        <v/>
      </c>
      <c r="G128" s="1">
        <f>IF(F128="","",ROUND(F128*$B$246,0))</f>
        <v/>
      </c>
      <c r="H128" s="3">
        <f>IF(G128="","",ROUND(G128*10/1000,0))</f>
        <v/>
      </c>
      <c r="I128" s="3">
        <f>IF(G128="","",ROUND(G128*15/1000,0))</f>
        <v/>
      </c>
      <c r="J128" s="3">
        <f>IF(G128="","",ROUND(G128*20/1000,0))</f>
        <v/>
      </c>
      <c r="K128" s="1">
        <f>IF(F128="","",ROUND(F128*0.10,0))</f>
        <v/>
      </c>
      <c r="L128" s="3">
        <f>IF(K128="","",ROUND(K128*5/1000,0))</f>
        <v/>
      </c>
      <c r="M128" s="1">
        <f>IF(F128="","",ROUND(F128*$B$247,0))</f>
        <v/>
      </c>
      <c r="N128">
        <f>IF(M128="","",ROUND(M128*$B$248,0))</f>
        <v/>
      </c>
      <c r="O128">
        <f>IF(N128="","",ROUND(N128*$B$249,0))</f>
        <v/>
      </c>
      <c r="P128" s="3">
        <f>IF(O128="","",ROUND(O128*7.30,0))</f>
        <v/>
      </c>
      <c r="Q128" s="3">
        <f>IF(L128="","",L128+P128)</f>
        <v/>
      </c>
    </row>
    <row r="129">
      <c r="A129" s="1" t="inlineStr">
        <is>
          <t>Tier 3</t>
        </is>
      </c>
      <c r="B129" s="1" t="inlineStr">
        <is>
          <t>CI</t>
        </is>
      </c>
      <c r="E129" s="1">
        <f>IFERROR(ROUND(C129/D129,0),"")</f>
        <v/>
      </c>
      <c r="F129" s="1">
        <f>IF(D129="","",D129*$B$244)</f>
        <v/>
      </c>
      <c r="G129" s="1">
        <f>IF(F129="","",ROUND(F129*$B$246,0))</f>
        <v/>
      </c>
      <c r="H129" s="3">
        <f>IF(G129="","",ROUND(G129*10/1000,0))</f>
        <v/>
      </c>
      <c r="I129" s="3">
        <f>IF(G129="","",ROUND(G129*15/1000,0))</f>
        <v/>
      </c>
      <c r="J129" s="3">
        <f>IF(G129="","",ROUND(G129*20/1000,0))</f>
        <v/>
      </c>
      <c r="K129" s="1">
        <f>IF(F129="","",ROUND(F129*0.10,0))</f>
        <v/>
      </c>
      <c r="L129" s="3">
        <f>IF(K129="","",ROUND(K129*5/1000,0))</f>
        <v/>
      </c>
      <c r="M129" s="1">
        <f>IF(F129="","",ROUND(F129*$B$247,0))</f>
        <v/>
      </c>
      <c r="N129">
        <f>IF(M129="","",ROUND(M129*$B$248,0))</f>
        <v/>
      </c>
      <c r="O129">
        <f>IF(N129="","",ROUND(N129*$B$249,0))</f>
        <v/>
      </c>
      <c r="P129" s="3">
        <f>IF(O129="","",ROUND(O129*7.30,0))</f>
        <v/>
      </c>
      <c r="Q129" s="3">
        <f>IF(L129="","",L129+P129)</f>
        <v/>
      </c>
    </row>
    <row r="130">
      <c r="A130" s="1" t="inlineStr">
        <is>
          <t>Tier 3</t>
        </is>
      </c>
      <c r="B130" s="1" t="inlineStr">
        <is>
          <t>GG</t>
        </is>
      </c>
      <c r="E130" s="1">
        <f>IFERROR(ROUND(C130/D130,0),"")</f>
        <v/>
      </c>
      <c r="F130" s="1">
        <f>IF(D130="","",D130*$B$244)</f>
        <v/>
      </c>
      <c r="G130" s="1">
        <f>IF(F130="","",ROUND(F130*$B$246,0))</f>
        <v/>
      </c>
      <c r="H130" s="3">
        <f>IF(G130="","",ROUND(G130*10/1000,0))</f>
        <v/>
      </c>
      <c r="I130" s="3">
        <f>IF(G130="","",ROUND(G130*15/1000,0))</f>
        <v/>
      </c>
      <c r="J130" s="3">
        <f>IF(G130="","",ROUND(G130*20/1000,0))</f>
        <v/>
      </c>
      <c r="K130" s="1">
        <f>IF(F130="","",ROUND(F130*0.10,0))</f>
        <v/>
      </c>
      <c r="L130" s="3">
        <f>IF(K130="","",ROUND(K130*5/1000,0))</f>
        <v/>
      </c>
      <c r="M130" s="1">
        <f>IF(F130="","",ROUND(F130*$B$247,0))</f>
        <v/>
      </c>
      <c r="N130">
        <f>IF(M130="","",ROUND(M130*$B$248,0))</f>
        <v/>
      </c>
      <c r="O130">
        <f>IF(N130="","",ROUND(N130*$B$249,0))</f>
        <v/>
      </c>
      <c r="P130" s="3">
        <f>IF(O130="","",ROUND(O130*7.30,0))</f>
        <v/>
      </c>
      <c r="Q130" s="3">
        <f>IF(L130="","",L130+P130)</f>
        <v/>
      </c>
    </row>
    <row r="131">
      <c r="A131" s="1" t="inlineStr">
        <is>
          <t>Tier 3</t>
        </is>
      </c>
      <c r="B131" s="1" t="inlineStr">
        <is>
          <t>MQ</t>
        </is>
      </c>
      <c r="E131" s="1">
        <f>IFERROR(ROUND(C131/D131,0),"")</f>
        <v/>
      </c>
      <c r="F131" s="1">
        <f>IF(D131="","",D131*$B$244)</f>
        <v/>
      </c>
      <c r="G131" s="1">
        <f>IF(F131="","",ROUND(F131*$B$246,0))</f>
        <v/>
      </c>
      <c r="H131" s="3">
        <f>IF(G131="","",ROUND(G131*10/1000,0))</f>
        <v/>
      </c>
      <c r="I131" s="3">
        <f>IF(G131="","",ROUND(G131*15/1000,0))</f>
        <v/>
      </c>
      <c r="J131" s="3">
        <f>IF(G131="","",ROUND(G131*20/1000,0))</f>
        <v/>
      </c>
      <c r="K131" s="1">
        <f>IF(F131="","",ROUND(F131*0.10,0))</f>
        <v/>
      </c>
      <c r="L131" s="3">
        <f>IF(K131="","",ROUND(K131*5/1000,0))</f>
        <v/>
      </c>
      <c r="M131" s="1">
        <f>IF(F131="","",ROUND(F131*$B$247,0))</f>
        <v/>
      </c>
      <c r="N131">
        <f>IF(M131="","",ROUND(M131*$B$248,0))</f>
        <v/>
      </c>
      <c r="O131">
        <f>IF(N131="","",ROUND(N131*$B$249,0))</f>
        <v/>
      </c>
      <c r="P131" s="3">
        <f>IF(O131="","",ROUND(O131*7.30,0))</f>
        <v/>
      </c>
      <c r="Q131" s="3">
        <f>IF(L131="","",L131+P131)</f>
        <v/>
      </c>
    </row>
    <row r="132">
      <c r="A132" s="1" t="inlineStr">
        <is>
          <t>Tier 3</t>
        </is>
      </c>
      <c r="B132" s="1" t="inlineStr">
        <is>
          <t>SN</t>
        </is>
      </c>
      <c r="E132" s="1">
        <f>IFERROR(ROUND(C132/D132,0),"")</f>
        <v/>
      </c>
      <c r="F132" s="1">
        <f>IF(D132="","",D132*$B$244)</f>
        <v/>
      </c>
      <c r="G132" s="1">
        <f>IF(F132="","",ROUND(F132*$B$246,0))</f>
        <v/>
      </c>
      <c r="H132" s="3">
        <f>IF(G132="","",ROUND(G132*10/1000,0))</f>
        <v/>
      </c>
      <c r="I132" s="3">
        <f>IF(G132="","",ROUND(G132*15/1000,0))</f>
        <v/>
      </c>
      <c r="J132" s="3">
        <f>IF(G132="","",ROUND(G132*20/1000,0))</f>
        <v/>
      </c>
      <c r="K132" s="1">
        <f>IF(F132="","",ROUND(F132*0.10,0))</f>
        <v/>
      </c>
      <c r="L132" s="3">
        <f>IF(K132="","",ROUND(K132*5/1000,0))</f>
        <v/>
      </c>
      <c r="M132" s="1">
        <f>IF(F132="","",ROUND(F132*$B$247,0))</f>
        <v/>
      </c>
      <c r="N132">
        <f>IF(M132="","",ROUND(M132*$B$248,0))</f>
        <v/>
      </c>
      <c r="O132">
        <f>IF(N132="","",ROUND(N132*$B$249,0))</f>
        <v/>
      </c>
      <c r="P132" s="3">
        <f>IF(O132="","",ROUND(O132*7.30,0))</f>
        <v/>
      </c>
      <c r="Q132" s="3">
        <f>IF(L132="","",L132+P132)</f>
        <v/>
      </c>
    </row>
    <row r="133">
      <c r="A133" s="1" t="inlineStr">
        <is>
          <t>Tier 3</t>
        </is>
      </c>
      <c r="B133" s="1" t="inlineStr">
        <is>
          <t>NG</t>
        </is>
      </c>
      <c r="E133" s="1">
        <f>IFERROR(ROUND(C133/D133,0),"")</f>
        <v/>
      </c>
      <c r="F133" s="1">
        <f>IF(D133="","",D133*$B$244)</f>
        <v/>
      </c>
      <c r="G133" s="1">
        <f>IF(F133="","",ROUND(F133*$B$246,0))</f>
        <v/>
      </c>
      <c r="H133" s="3">
        <f>IF(G133="","",ROUND(G133*10/1000,0))</f>
        <v/>
      </c>
      <c r="I133" s="3">
        <f>IF(G133="","",ROUND(G133*15/1000,0))</f>
        <v/>
      </c>
      <c r="J133" s="3">
        <f>IF(G133="","",ROUND(G133*20/1000,0))</f>
        <v/>
      </c>
      <c r="K133" s="1">
        <f>IF(F133="","",ROUND(F133*0.10,0))</f>
        <v/>
      </c>
      <c r="L133" s="3">
        <f>IF(K133="","",ROUND(K133*5/1000,0))</f>
        <v/>
      </c>
      <c r="M133" s="1">
        <f>IF(F133="","",ROUND(F133*$B$247,0))</f>
        <v/>
      </c>
      <c r="N133">
        <f>IF(M133="","",ROUND(M133*$B$248,0))</f>
        <v/>
      </c>
      <c r="O133">
        <f>IF(N133="","",ROUND(N133*$B$249,0))</f>
        <v/>
      </c>
      <c r="P133" s="3">
        <f>IF(O133="","",ROUND(O133*7.30,0))</f>
        <v/>
      </c>
      <c r="Q133" s="3">
        <f>IF(L133="","",L133+P133)</f>
        <v/>
      </c>
    </row>
    <row r="134">
      <c r="A134" s="1" t="inlineStr">
        <is>
          <t>Tier 3</t>
        </is>
      </c>
      <c r="B134" s="1" t="inlineStr">
        <is>
          <t>TM</t>
        </is>
      </c>
      <c r="E134" s="1">
        <f>IFERROR(ROUND(C134/D134,0),"")</f>
        <v/>
      </c>
      <c r="F134" s="1">
        <f>IF(D134="","",D134*$B$244)</f>
        <v/>
      </c>
      <c r="G134" s="1">
        <f>IF(F134="","",ROUND(F134*$B$246,0))</f>
        <v/>
      </c>
      <c r="H134" s="3">
        <f>IF(G134="","",ROUND(G134*10/1000,0))</f>
        <v/>
      </c>
      <c r="I134" s="3">
        <f>IF(G134="","",ROUND(G134*15/1000,0))</f>
        <v/>
      </c>
      <c r="J134" s="3">
        <f>IF(G134="","",ROUND(G134*20/1000,0))</f>
        <v/>
      </c>
      <c r="K134" s="1">
        <f>IF(F134="","",ROUND(F134*0.10,0))</f>
        <v/>
      </c>
      <c r="L134" s="3">
        <f>IF(K134="","",ROUND(K134*5/1000,0))</f>
        <v/>
      </c>
      <c r="M134" s="1">
        <f>IF(F134="","",ROUND(F134*$B$247,0))</f>
        <v/>
      </c>
      <c r="N134">
        <f>IF(M134="","",ROUND(M134*$B$248,0))</f>
        <v/>
      </c>
      <c r="O134">
        <f>IF(N134="","",ROUND(N134*$B$249,0))</f>
        <v/>
      </c>
      <c r="P134" s="3">
        <f>IF(O134="","",ROUND(O134*7.30,0))</f>
        <v/>
      </c>
      <c r="Q134" s="3">
        <f>IF(L134="","",L134+P134)</f>
        <v/>
      </c>
    </row>
    <row r="135">
      <c r="A135" s="1" t="inlineStr">
        <is>
          <t>Tier 3</t>
        </is>
      </c>
      <c r="B135" s="1" t="inlineStr">
        <is>
          <t>KE</t>
        </is>
      </c>
      <c r="E135" s="1">
        <f>IFERROR(ROUND(C135/D135,0),"")</f>
        <v/>
      </c>
      <c r="F135" s="1">
        <f>IF(D135="","",D135*$B$244)</f>
        <v/>
      </c>
      <c r="G135" s="1">
        <f>IF(F135="","",ROUND(F135*$B$246,0))</f>
        <v/>
      </c>
      <c r="H135" s="3">
        <f>IF(G135="","",ROUND(G135*10/1000,0))</f>
        <v/>
      </c>
      <c r="I135" s="3">
        <f>IF(G135="","",ROUND(G135*15/1000,0))</f>
        <v/>
      </c>
      <c r="J135" s="3">
        <f>IF(G135="","",ROUND(G135*20/1000,0))</f>
        <v/>
      </c>
      <c r="K135" s="1">
        <f>IF(F135="","",ROUND(F135*0.10,0))</f>
        <v/>
      </c>
      <c r="L135" s="3">
        <f>IF(K135="","",ROUND(K135*5/1000,0))</f>
        <v/>
      </c>
      <c r="M135" s="1">
        <f>IF(F135="","",ROUND(F135*$B$247,0))</f>
        <v/>
      </c>
      <c r="N135">
        <f>IF(M135="","",ROUND(M135*$B$248,0))</f>
        <v/>
      </c>
      <c r="O135">
        <f>IF(N135="","",ROUND(N135*$B$249,0))</f>
        <v/>
      </c>
      <c r="P135" s="3">
        <f>IF(O135="","",ROUND(O135*7.30,0))</f>
        <v/>
      </c>
      <c r="Q135" s="3">
        <f>IF(L135="","",L135+P135)</f>
        <v/>
      </c>
    </row>
    <row r="136">
      <c r="A136" s="1" t="inlineStr">
        <is>
          <t>Tier 3</t>
        </is>
      </c>
      <c r="B136" s="1" t="inlineStr">
        <is>
          <t>AO</t>
        </is>
      </c>
      <c r="E136" s="1">
        <f>IFERROR(ROUND(C136/D136,0),"")</f>
        <v/>
      </c>
      <c r="F136" s="1">
        <f>IF(D136="","",D136*$B$244)</f>
        <v/>
      </c>
      <c r="G136" s="1">
        <f>IF(F136="","",ROUND(F136*$B$246,0))</f>
        <v/>
      </c>
      <c r="H136" s="3">
        <f>IF(G136="","",ROUND(G136*10/1000,0))</f>
        <v/>
      </c>
      <c r="I136" s="3">
        <f>IF(G136="","",ROUND(G136*15/1000,0))</f>
        <v/>
      </c>
      <c r="J136" s="3">
        <f>IF(G136="","",ROUND(G136*20/1000,0))</f>
        <v/>
      </c>
      <c r="K136" s="1">
        <f>IF(F136="","",ROUND(F136*0.10,0))</f>
        <v/>
      </c>
      <c r="L136" s="3">
        <f>IF(K136="","",ROUND(K136*5/1000,0))</f>
        <v/>
      </c>
      <c r="M136" s="1">
        <f>IF(F136="","",ROUND(F136*$B$247,0))</f>
        <v/>
      </c>
      <c r="N136">
        <f>IF(M136="","",ROUND(M136*$B$248,0))</f>
        <v/>
      </c>
      <c r="O136">
        <f>IF(N136="","",ROUND(N136*$B$249,0))</f>
        <v/>
      </c>
      <c r="P136" s="3">
        <f>IF(O136="","",ROUND(O136*7.30,0))</f>
        <v/>
      </c>
      <c r="Q136" s="3">
        <f>IF(L136="","",L136+P136)</f>
        <v/>
      </c>
    </row>
    <row r="137">
      <c r="A137" s="1" t="inlineStr">
        <is>
          <t>Tier 3</t>
        </is>
      </c>
      <c r="B137" s="1" t="inlineStr">
        <is>
          <t>se</t>
        </is>
      </c>
      <c r="E137" s="1">
        <f>IFERROR(ROUND(C137/D137,0),"")</f>
        <v/>
      </c>
      <c r="F137" s="1">
        <f>IF(D137="","",D137*$B$244)</f>
        <v/>
      </c>
      <c r="G137" s="1">
        <f>IF(F137="","",ROUND(F137*$B$246,0))</f>
        <v/>
      </c>
      <c r="H137" s="3">
        <f>IF(G137="","",ROUND(G137*10/1000,0))</f>
        <v/>
      </c>
      <c r="I137" s="3">
        <f>IF(G137="","",ROUND(G137*15/1000,0))</f>
        <v/>
      </c>
      <c r="J137" s="3">
        <f>IF(G137="","",ROUND(G137*20/1000,0))</f>
        <v/>
      </c>
      <c r="K137" s="1">
        <f>IF(F137="","",ROUND(F137*0.10,0))</f>
        <v/>
      </c>
      <c r="L137" s="3">
        <f>IF(K137="","",ROUND(K137*5/1000,0))</f>
        <v/>
      </c>
      <c r="M137" s="1">
        <f>IF(F137="","",ROUND(F137*$B$247,0))</f>
        <v/>
      </c>
      <c r="N137">
        <f>IF(M137="","",ROUND(M137*$B$248,0))</f>
        <v/>
      </c>
      <c r="O137">
        <f>IF(N137="","",ROUND(N137*$B$249,0))</f>
        <v/>
      </c>
      <c r="P137" s="3">
        <f>IF(O137="","",ROUND(O137*7.30,0))</f>
        <v/>
      </c>
      <c r="Q137" s="3">
        <f>IF(L137="","",L137+P137)</f>
        <v/>
      </c>
    </row>
    <row r="138">
      <c r="A138" s="1" t="inlineStr">
        <is>
          <t>Tier 3</t>
        </is>
      </c>
      <c r="B138" s="1" t="inlineStr">
        <is>
          <t>TT</t>
        </is>
      </c>
      <c r="E138" s="1">
        <f>IFERROR(ROUND(C138/D138,0),"")</f>
        <v/>
      </c>
      <c r="F138" s="1">
        <f>IF(D138="","",D138*$B$244)</f>
        <v/>
      </c>
      <c r="G138" s="1">
        <f>IF(F138="","",ROUND(F138*$B$246,0))</f>
        <v/>
      </c>
      <c r="H138" s="3">
        <f>IF(G138="","",ROUND(G138*10/1000,0))</f>
        <v/>
      </c>
      <c r="I138" s="3">
        <f>IF(G138="","",ROUND(G138*15/1000,0))</f>
        <v/>
      </c>
      <c r="J138" s="3">
        <f>IF(G138="","",ROUND(G138*20/1000,0))</f>
        <v/>
      </c>
      <c r="K138" s="1">
        <f>IF(F138="","",ROUND(F138*0.10,0))</f>
        <v/>
      </c>
      <c r="L138" s="3">
        <f>IF(K138="","",ROUND(K138*5/1000,0))</f>
        <v/>
      </c>
      <c r="M138" s="1">
        <f>IF(F138="","",ROUND(F138*$B$247,0))</f>
        <v/>
      </c>
      <c r="N138">
        <f>IF(M138="","",ROUND(M138*$B$248,0))</f>
        <v/>
      </c>
      <c r="O138">
        <f>IF(N138="","",ROUND(N138*$B$249,0))</f>
        <v/>
      </c>
      <c r="P138" s="3">
        <f>IF(O138="","",ROUND(O138*7.30,0))</f>
        <v/>
      </c>
      <c r="Q138" s="3">
        <f>IF(L138="","",L138+P138)</f>
        <v/>
      </c>
    </row>
    <row r="139">
      <c r="A139" s="1" t="inlineStr">
        <is>
          <t>Tier 3</t>
        </is>
      </c>
      <c r="B139" s="1" t="inlineStr">
        <is>
          <t>CD</t>
        </is>
      </c>
      <c r="E139" s="1">
        <f>IFERROR(ROUND(C139/D139,0),"")</f>
        <v/>
      </c>
      <c r="F139" s="1">
        <f>IF(D139="","",D139*$B$244)</f>
        <v/>
      </c>
      <c r="G139" s="1">
        <f>IF(F139="","",ROUND(F139*$B$246,0))</f>
        <v/>
      </c>
      <c r="H139" s="3">
        <f>IF(G139="","",ROUND(G139*10/1000,0))</f>
        <v/>
      </c>
      <c r="I139" s="3">
        <f>IF(G139="","",ROUND(G139*15/1000,0))</f>
        <v/>
      </c>
      <c r="J139" s="3">
        <f>IF(G139="","",ROUND(G139*20/1000,0))</f>
        <v/>
      </c>
      <c r="K139" s="1">
        <f>IF(F139="","",ROUND(F139*0.10,0))</f>
        <v/>
      </c>
      <c r="L139" s="3">
        <f>IF(K139="","",ROUND(K139*5/1000,0))</f>
        <v/>
      </c>
      <c r="M139" s="1">
        <f>IF(F139="","",ROUND(F139*$B$247,0))</f>
        <v/>
      </c>
      <c r="N139">
        <f>IF(M139="","",ROUND(M139*$B$248,0))</f>
        <v/>
      </c>
      <c r="O139">
        <f>IF(N139="","",ROUND(N139*$B$249,0))</f>
        <v/>
      </c>
      <c r="P139" s="3">
        <f>IF(O139="","",ROUND(O139*7.30,0))</f>
        <v/>
      </c>
      <c r="Q139" s="3">
        <f>IF(L139="","",L139+P139)</f>
        <v/>
      </c>
    </row>
    <row r="140">
      <c r="A140" s="1" t="inlineStr">
        <is>
          <t>Tier 3</t>
        </is>
      </c>
      <c r="B140" s="1" t="inlineStr">
        <is>
          <t>TG</t>
        </is>
      </c>
      <c r="E140" s="1">
        <f>IFERROR(ROUND(C140/D140,0),"")</f>
        <v/>
      </c>
      <c r="F140" s="1">
        <f>IF(D140="","",D140*$B$244)</f>
        <v/>
      </c>
      <c r="G140" s="1">
        <f>IF(F140="","",ROUND(F140*$B$246,0))</f>
        <v/>
      </c>
      <c r="H140" s="3">
        <f>IF(G140="","",ROUND(G140*10/1000,0))</f>
        <v/>
      </c>
      <c r="I140" s="3">
        <f>IF(G140="","",ROUND(G140*15/1000,0))</f>
        <v/>
      </c>
      <c r="J140" s="3">
        <f>IF(G140="","",ROUND(G140*20/1000,0))</f>
        <v/>
      </c>
      <c r="K140" s="1">
        <f>IF(F140="","",ROUND(F140*0.10,0))</f>
        <v/>
      </c>
      <c r="L140" s="3">
        <f>IF(K140="","",ROUND(K140*5/1000,0))</f>
        <v/>
      </c>
      <c r="M140" s="1">
        <f>IF(F140="","",ROUND(F140*$B$247,0))</f>
        <v/>
      </c>
      <c r="N140">
        <f>IF(M140="","",ROUND(M140*$B$248,0))</f>
        <v/>
      </c>
      <c r="O140">
        <f>IF(N140="","",ROUND(N140*$B$249,0))</f>
        <v/>
      </c>
      <c r="P140" s="3">
        <f>IF(O140="","",ROUND(O140*7.30,0))</f>
        <v/>
      </c>
      <c r="Q140" s="3">
        <f>IF(L140="","",L140+P140)</f>
        <v/>
      </c>
    </row>
    <row r="141">
      <c r="A141" s="1" t="inlineStr">
        <is>
          <t>Tier 3</t>
        </is>
      </c>
      <c r="B141" s="1" t="inlineStr">
        <is>
          <t>NI</t>
        </is>
      </c>
      <c r="E141" s="1">
        <f>IFERROR(ROUND(C141/D141,0),"")</f>
        <v/>
      </c>
      <c r="F141" s="1">
        <f>IF(D141="","",D141*$B$244)</f>
        <v/>
      </c>
      <c r="G141" s="1">
        <f>IF(F141="","",ROUND(F141*$B$246,0))</f>
        <v/>
      </c>
      <c r="H141" s="3">
        <f>IF(G141="","",ROUND(G141*10/1000,0))</f>
        <v/>
      </c>
      <c r="I141" s="3">
        <f>IF(G141="","",ROUND(G141*15/1000,0))</f>
        <v/>
      </c>
      <c r="J141" s="3">
        <f>IF(G141="","",ROUND(G141*20/1000,0))</f>
        <v/>
      </c>
      <c r="K141" s="1">
        <f>IF(F141="","",ROUND(F141*0.10,0))</f>
        <v/>
      </c>
      <c r="L141" s="3">
        <f>IF(K141="","",ROUND(K141*5/1000,0))</f>
        <v/>
      </c>
      <c r="M141" s="1">
        <f>IF(F141="","",ROUND(F141*$B$247,0))</f>
        <v/>
      </c>
      <c r="N141">
        <f>IF(M141="","",ROUND(M141*$B$248,0))</f>
        <v/>
      </c>
      <c r="O141">
        <f>IF(N141="","",ROUND(N141*$B$249,0))</f>
        <v/>
      </c>
      <c r="P141" s="3">
        <f>IF(O141="","",ROUND(O141*7.30,0))</f>
        <v/>
      </c>
      <c r="Q141" s="3">
        <f>IF(L141="","",L141+P141)</f>
        <v/>
      </c>
    </row>
    <row r="142">
      <c r="A142" s="1" t="inlineStr">
        <is>
          <t>Tier 3</t>
        </is>
      </c>
      <c r="B142" s="1" t="inlineStr">
        <is>
          <t>br</t>
        </is>
      </c>
      <c r="E142" s="1">
        <f>IFERROR(ROUND(C142/D142,0),"")</f>
        <v/>
      </c>
      <c r="F142" s="1">
        <f>IF(D142="","",D142*$B$244)</f>
        <v/>
      </c>
      <c r="G142" s="1">
        <f>IF(F142="","",ROUND(F142*$B$246,0))</f>
        <v/>
      </c>
      <c r="H142" s="3">
        <f>IF(G142="","",ROUND(G142*10/1000,0))</f>
        <v/>
      </c>
      <c r="I142" s="3">
        <f>IF(G142="","",ROUND(G142*15/1000,0))</f>
        <v/>
      </c>
      <c r="J142" s="3">
        <f>IF(G142="","",ROUND(G142*20/1000,0))</f>
        <v/>
      </c>
      <c r="K142" s="1">
        <f>IF(F142="","",ROUND(F142*0.10,0))</f>
        <v/>
      </c>
      <c r="L142" s="3">
        <f>IF(K142="","",ROUND(K142*5/1000,0))</f>
        <v/>
      </c>
      <c r="M142" s="1">
        <f>IF(F142="","",ROUND(F142*$B$247,0))</f>
        <v/>
      </c>
      <c r="N142">
        <f>IF(M142="","",ROUND(M142*$B$248,0))</f>
        <v/>
      </c>
      <c r="O142">
        <f>IF(N142="","",ROUND(N142*$B$249,0))</f>
        <v/>
      </c>
      <c r="P142" s="3">
        <f>IF(O142="","",ROUND(O142*7.30,0))</f>
        <v/>
      </c>
      <c r="Q142" s="3">
        <f>IF(L142="","",L142+P142)</f>
        <v/>
      </c>
    </row>
    <row r="143">
      <c r="A143" s="1" t="inlineStr">
        <is>
          <t>Tier 3</t>
        </is>
      </c>
      <c r="B143" s="1" t="inlineStr">
        <is>
          <t>CV</t>
        </is>
      </c>
      <c r="E143" s="1">
        <f>IFERROR(ROUND(C143/D143,0),"")</f>
        <v/>
      </c>
      <c r="F143" s="1">
        <f>IF(D143="","",D143*$B$244)</f>
        <v/>
      </c>
      <c r="G143" s="1">
        <f>IF(F143="","",ROUND(F143*$B$246,0))</f>
        <v/>
      </c>
      <c r="H143" s="3">
        <f>IF(G143="","",ROUND(G143*10/1000,0))</f>
        <v/>
      </c>
      <c r="I143" s="3">
        <f>IF(G143="","",ROUND(G143*15/1000,0))</f>
        <v/>
      </c>
      <c r="J143" s="3">
        <f>IF(G143="","",ROUND(G143*20/1000,0))</f>
        <v/>
      </c>
      <c r="K143" s="1">
        <f>IF(F143="","",ROUND(F143*0.10,0))</f>
        <v/>
      </c>
      <c r="L143" s="3">
        <f>IF(K143="","",ROUND(K143*5/1000,0))</f>
        <v/>
      </c>
      <c r="M143" s="1">
        <f>IF(F143="","",ROUND(F143*$B$247,0))</f>
        <v/>
      </c>
      <c r="N143">
        <f>IF(M143="","",ROUND(M143*$B$248,0))</f>
        <v/>
      </c>
      <c r="O143">
        <f>IF(N143="","",ROUND(N143*$B$249,0))</f>
        <v/>
      </c>
      <c r="P143" s="3">
        <f>IF(O143="","",ROUND(O143*7.30,0))</f>
        <v/>
      </c>
      <c r="Q143" s="3">
        <f>IF(L143="","",L143+P143)</f>
        <v/>
      </c>
    </row>
    <row r="144">
      <c r="A144" s="1" t="inlineStr">
        <is>
          <t>Tier 3</t>
        </is>
      </c>
      <c r="E144" s="1">
        <f>IFERROR(ROUND(C144/D144,0),"")</f>
        <v/>
      </c>
      <c r="F144" s="1">
        <f>IF(D144="","",D144*$B$244)</f>
        <v/>
      </c>
      <c r="G144" s="1">
        <f>IF(F144="","",ROUND(F144*$B$246,0))</f>
        <v/>
      </c>
      <c r="H144" s="3">
        <f>IF(G144="","",ROUND(G144*10/1000,0))</f>
        <v/>
      </c>
      <c r="I144" s="3">
        <f>IF(G144="","",ROUND(G144*15/1000,0))</f>
        <v/>
      </c>
      <c r="J144" s="3">
        <f>IF(G144="","",ROUND(G144*20/1000,0))</f>
        <v/>
      </c>
      <c r="K144" s="1">
        <f>IF(F144="","",ROUND(F144*0.10,0))</f>
        <v/>
      </c>
      <c r="L144" s="3">
        <f>IF(K144="","",ROUND(K144*5/1000,0))</f>
        <v/>
      </c>
      <c r="M144" s="1">
        <f>IF(F144="","",ROUND(F144*$B$247,0))</f>
        <v/>
      </c>
      <c r="N144">
        <f>IF(M144="","",ROUND(M144*$B$248,0))</f>
        <v/>
      </c>
      <c r="O144">
        <f>IF(N144="","",ROUND(N144*$B$249,0))</f>
        <v/>
      </c>
      <c r="P144" s="3">
        <f>IF(O144="","",ROUND(O144*7.30,0))</f>
        <v/>
      </c>
      <c r="Q144" s="3">
        <f>IF(L144="","",L144+P144)</f>
        <v/>
      </c>
    </row>
    <row r="145">
      <c r="A145" s="1" t="inlineStr">
        <is>
          <t>Tier 3</t>
        </is>
      </c>
      <c r="B145" s="1" t="inlineStr">
        <is>
          <t>BS</t>
        </is>
      </c>
      <c r="E145" s="1">
        <f>IFERROR(ROUND(C145/D145,0),"")</f>
        <v/>
      </c>
      <c r="F145" s="1">
        <f>IF(D145="","",D145*$B$244)</f>
        <v/>
      </c>
      <c r="G145" s="1">
        <f>IF(F145="","",ROUND(F145*$B$246,0))</f>
        <v/>
      </c>
      <c r="H145" s="3">
        <f>IF(G145="","",ROUND(G145*10/1000,0))</f>
        <v/>
      </c>
      <c r="I145" s="3">
        <f>IF(G145="","",ROUND(G145*15/1000,0))</f>
        <v/>
      </c>
      <c r="J145" s="3">
        <f>IF(G145="","",ROUND(G145*20/1000,0))</f>
        <v/>
      </c>
      <c r="K145" s="1">
        <f>IF(F145="","",ROUND(F145*0.10,0))</f>
        <v/>
      </c>
      <c r="L145" s="3">
        <f>IF(K145="","",ROUND(K145*5/1000,0))</f>
        <v/>
      </c>
      <c r="M145" s="1">
        <f>IF(F145="","",ROUND(F145*$B$247,0))</f>
        <v/>
      </c>
      <c r="N145">
        <f>IF(M145="","",ROUND(M145*$B$248,0))</f>
        <v/>
      </c>
      <c r="O145">
        <f>IF(N145="","",ROUND(N145*$B$249,0))</f>
        <v/>
      </c>
      <c r="P145" s="3">
        <f>IF(O145="","",ROUND(O145*7.30,0))</f>
        <v/>
      </c>
      <c r="Q145" s="3">
        <f>IF(L145="","",L145+P145)</f>
        <v/>
      </c>
    </row>
    <row r="146">
      <c r="A146" s="1" t="inlineStr">
        <is>
          <t>Tier 3</t>
        </is>
      </c>
      <c r="B146" s="1" t="inlineStr">
        <is>
          <t>MF</t>
        </is>
      </c>
      <c r="E146" s="1">
        <f>IFERROR(ROUND(C146/D146,0),"")</f>
        <v/>
      </c>
      <c r="F146" s="1">
        <f>IF(D146="","",D146*$B$244)</f>
        <v/>
      </c>
      <c r="G146" s="1">
        <f>IF(F146="","",ROUND(F146*$B$246,0))</f>
        <v/>
      </c>
      <c r="H146" s="3">
        <f>IF(G146="","",ROUND(G146*10/1000,0))</f>
        <v/>
      </c>
      <c r="I146" s="3">
        <f>IF(G146="","",ROUND(G146*15/1000,0))</f>
        <v/>
      </c>
      <c r="J146" s="3">
        <f>IF(G146="","",ROUND(G146*20/1000,0))</f>
        <v/>
      </c>
      <c r="K146" s="1">
        <f>IF(F146="","",ROUND(F146*0.10,0))</f>
        <v/>
      </c>
      <c r="L146" s="3">
        <f>IF(K146="","",ROUND(K146*5/1000,0))</f>
        <v/>
      </c>
      <c r="M146" s="1">
        <f>IF(F146="","",ROUND(F146*$B$247,0))</f>
        <v/>
      </c>
      <c r="N146">
        <f>IF(M146="","",ROUND(M146*$B$248,0))</f>
        <v/>
      </c>
      <c r="O146">
        <f>IF(N146="","",ROUND(N146*$B$249,0))</f>
        <v/>
      </c>
      <c r="P146" s="3">
        <f>IF(O146="","",ROUND(O146*7.30,0))</f>
        <v/>
      </c>
      <c r="Q146" s="3">
        <f>IF(L146="","",L146+P146)</f>
        <v/>
      </c>
    </row>
    <row r="147">
      <c r="A147" s="1" t="inlineStr">
        <is>
          <t>Tier 3</t>
        </is>
      </c>
      <c r="B147" s="1" t="inlineStr">
        <is>
          <t>GP</t>
        </is>
      </c>
      <c r="E147" s="1">
        <f>IFERROR(ROUND(C147/D147,0),"")</f>
        <v/>
      </c>
      <c r="F147" s="1">
        <f>IF(D147="","",D147*$B$244)</f>
        <v/>
      </c>
      <c r="G147" s="1">
        <f>IF(F147="","",ROUND(F147*$B$246,0))</f>
        <v/>
      </c>
      <c r="H147" s="3">
        <f>IF(G147="","",ROUND(G147*10/1000,0))</f>
        <v/>
      </c>
      <c r="I147" s="3">
        <f>IF(G147="","",ROUND(G147*15/1000,0))</f>
        <v/>
      </c>
      <c r="J147" s="3">
        <f>IF(G147="","",ROUND(G147*20/1000,0))</f>
        <v/>
      </c>
      <c r="K147" s="1">
        <f>IF(F147="","",ROUND(F147*0.10,0))</f>
        <v/>
      </c>
      <c r="L147" s="3">
        <f>IF(K147="","",ROUND(K147*5/1000,0))</f>
        <v/>
      </c>
      <c r="M147" s="1">
        <f>IF(F147="","",ROUND(F147*$B$247,0))</f>
        <v/>
      </c>
      <c r="N147">
        <f>IF(M147="","",ROUND(M147*$B$248,0))</f>
        <v/>
      </c>
      <c r="O147">
        <f>IF(N147="","",ROUND(N147*$B$249,0))</f>
        <v/>
      </c>
      <c r="P147" s="3">
        <f>IF(O147="","",ROUND(O147*7.30,0))</f>
        <v/>
      </c>
      <c r="Q147" s="3">
        <f>IF(L147="","",L147+P147)</f>
        <v/>
      </c>
    </row>
    <row r="148">
      <c r="A148" s="1" t="inlineStr">
        <is>
          <t>Tier 3</t>
        </is>
      </c>
      <c r="B148" s="1" t="inlineStr">
        <is>
          <t>GF</t>
        </is>
      </c>
      <c r="E148" s="1">
        <f>IFERROR(ROUND(C148/D148,0),"")</f>
        <v/>
      </c>
      <c r="F148" s="1">
        <f>IF(D148="","",D148*$B$244)</f>
        <v/>
      </c>
      <c r="G148" s="1">
        <f>IF(F148="","",ROUND(F148*$B$246,0))</f>
        <v/>
      </c>
      <c r="H148" s="3">
        <f>IF(G148="","",ROUND(G148*10/1000,0))</f>
        <v/>
      </c>
      <c r="I148" s="3">
        <f>IF(G148="","",ROUND(G148*15/1000,0))</f>
        <v/>
      </c>
      <c r="J148" s="3">
        <f>IF(G148="","",ROUND(G148*20/1000,0))</f>
        <v/>
      </c>
      <c r="K148" s="1">
        <f>IF(F148="","",ROUND(F148*0.10,0))</f>
        <v/>
      </c>
      <c r="L148" s="3">
        <f>IF(K148="","",ROUND(K148*5/1000,0))</f>
        <v/>
      </c>
      <c r="M148" s="1">
        <f>IF(F148="","",ROUND(F148*$B$247,0))</f>
        <v/>
      </c>
      <c r="N148">
        <f>IF(M148="","",ROUND(M148*$B$248,0))</f>
        <v/>
      </c>
      <c r="O148">
        <f>IF(N148="","",ROUND(N148*$B$249,0))</f>
        <v/>
      </c>
      <c r="P148" s="3">
        <f>IF(O148="","",ROUND(O148*7.30,0))</f>
        <v/>
      </c>
      <c r="Q148" s="3">
        <f>IF(L148="","",L148+P148)</f>
        <v/>
      </c>
    </row>
    <row r="149">
      <c r="A149" s="1" t="inlineStr">
        <is>
          <t>Tier 3</t>
        </is>
      </c>
      <c r="B149" s="1" t="inlineStr">
        <is>
          <t>GU</t>
        </is>
      </c>
      <c r="E149" s="1">
        <f>IFERROR(ROUND(C149/D149,0),"")</f>
        <v/>
      </c>
      <c r="F149" s="1">
        <f>IF(D149="","",D149*$B$244)</f>
        <v/>
      </c>
      <c r="G149" s="1">
        <f>IF(F149="","",ROUND(F149*$B$246,0))</f>
        <v/>
      </c>
      <c r="H149" s="3">
        <f>IF(G149="","",ROUND(G149*10/1000,0))</f>
        <v/>
      </c>
      <c r="I149" s="3">
        <f>IF(G149="","",ROUND(G149*15/1000,0))</f>
        <v/>
      </c>
      <c r="J149" s="3">
        <f>IF(G149="","",ROUND(G149*20/1000,0))</f>
        <v/>
      </c>
      <c r="K149" s="1">
        <f>IF(F149="","",ROUND(F149*0.10,0))</f>
        <v/>
      </c>
      <c r="L149" s="3">
        <f>IF(K149="","",ROUND(K149*5/1000,0))</f>
        <v/>
      </c>
      <c r="M149" s="1">
        <f>IF(F149="","",ROUND(F149*$B$247,0))</f>
        <v/>
      </c>
      <c r="N149">
        <f>IF(M149="","",ROUND(M149*$B$248,0))</f>
        <v/>
      </c>
      <c r="O149">
        <f>IF(N149="","",ROUND(N149*$B$249,0))</f>
        <v/>
      </c>
      <c r="P149" s="3">
        <f>IF(O149="","",ROUND(O149*7.30,0))</f>
        <v/>
      </c>
      <c r="Q149" s="3">
        <f>IF(L149="","",L149+P149)</f>
        <v/>
      </c>
    </row>
    <row r="150">
      <c r="A150" s="1" t="inlineStr">
        <is>
          <t>Tier 3</t>
        </is>
      </c>
      <c r="B150" s="1" t="inlineStr">
        <is>
          <t>JM</t>
        </is>
      </c>
      <c r="E150" s="1">
        <f>IFERROR(ROUND(C150/D150,0),"")</f>
        <v/>
      </c>
      <c r="F150" s="1">
        <f>IF(D150="","",D150*$B$244)</f>
        <v/>
      </c>
      <c r="G150" s="1">
        <f>IF(F150="","",ROUND(F150*$B$246,0))</f>
        <v/>
      </c>
      <c r="H150" s="3">
        <f>IF(G150="","",ROUND(G150*10/1000,0))</f>
        <v/>
      </c>
      <c r="I150" s="3">
        <f>IF(G150="","",ROUND(G150*15/1000,0))</f>
        <v/>
      </c>
      <c r="J150" s="3">
        <f>IF(G150="","",ROUND(G150*20/1000,0))</f>
        <v/>
      </c>
      <c r="K150" s="1">
        <f>IF(F150="","",ROUND(F150*0.10,0))</f>
        <v/>
      </c>
      <c r="L150" s="3">
        <f>IF(K150="","",ROUND(K150*5/1000,0))</f>
        <v/>
      </c>
      <c r="M150" s="1">
        <f>IF(F150="","",ROUND(F150*$B$247,0))</f>
        <v/>
      </c>
      <c r="N150">
        <f>IF(M150="","",ROUND(M150*$B$248,0))</f>
        <v/>
      </c>
      <c r="O150">
        <f>IF(N150="","",ROUND(N150*$B$249,0))</f>
        <v/>
      </c>
      <c r="P150" s="3">
        <f>IF(O150="","",ROUND(O150*7.30,0))</f>
        <v/>
      </c>
      <c r="Q150" s="3">
        <f>IF(L150="","",L150+P150)</f>
        <v/>
      </c>
    </row>
    <row r="151">
      <c r="A151" s="1" t="inlineStr">
        <is>
          <t>Tier 3</t>
        </is>
      </c>
      <c r="B151" s="1" t="inlineStr">
        <is>
          <t>NA</t>
        </is>
      </c>
      <c r="E151" s="1">
        <f>IFERROR(ROUND(C151/D151,0),"")</f>
        <v/>
      </c>
      <c r="F151" s="1">
        <f>IF(D151="","",D151*$B$244)</f>
        <v/>
      </c>
      <c r="G151" s="1">
        <f>IF(F151="","",ROUND(F151*$B$246,0))</f>
        <v/>
      </c>
      <c r="H151" s="3">
        <f>IF(G151="","",ROUND(G151*10/1000,0))</f>
        <v/>
      </c>
      <c r="I151" s="3">
        <f>IF(G151="","",ROUND(G151*15/1000,0))</f>
        <v/>
      </c>
      <c r="J151" s="3">
        <f>IF(G151="","",ROUND(G151*20/1000,0))</f>
        <v/>
      </c>
      <c r="K151" s="1">
        <f>IF(F151="","",ROUND(F151*0.10,0))</f>
        <v/>
      </c>
      <c r="L151" s="3">
        <f>IF(K151="","",ROUND(K151*5/1000,0))</f>
        <v/>
      </c>
      <c r="M151" s="1">
        <f>IF(F151="","",ROUND(F151*$B$247,0))</f>
        <v/>
      </c>
      <c r="N151">
        <f>IF(M151="","",ROUND(M151*$B$248,0))</f>
        <v/>
      </c>
      <c r="O151">
        <f>IF(N151="","",ROUND(N151*$B$249,0))</f>
        <v/>
      </c>
      <c r="P151" s="3">
        <f>IF(O151="","",ROUND(O151*7.30,0))</f>
        <v/>
      </c>
      <c r="Q151" s="3">
        <f>IF(L151="","",L151+P151)</f>
        <v/>
      </c>
    </row>
    <row r="152">
      <c r="A152" s="1" t="inlineStr">
        <is>
          <t>Tier 3</t>
        </is>
      </c>
      <c r="B152" s="1" t="inlineStr">
        <is>
          <t>ro</t>
        </is>
      </c>
      <c r="E152" s="1">
        <f>IFERROR(ROUND(C152/D152,0),"")</f>
        <v/>
      </c>
      <c r="F152" s="1">
        <f>IF(D152="","",D152*$B$244)</f>
        <v/>
      </c>
      <c r="G152" s="1">
        <f>IF(F152="","",ROUND(F152*$B$246,0))</f>
        <v/>
      </c>
      <c r="H152" s="3">
        <f>IF(G152="","",ROUND(G152*10/1000,0))</f>
        <v/>
      </c>
      <c r="I152" s="3">
        <f>IF(G152="","",ROUND(G152*15/1000,0))</f>
        <v/>
      </c>
      <c r="J152" s="3">
        <f>IF(G152="","",ROUND(G152*20/1000,0))</f>
        <v/>
      </c>
      <c r="K152" s="1">
        <f>IF(F152="","",ROUND(F152*0.10,0))</f>
        <v/>
      </c>
      <c r="L152" s="3">
        <f>IF(K152="","",ROUND(K152*5/1000,0))</f>
        <v/>
      </c>
      <c r="M152" s="1">
        <f>IF(F152="","",ROUND(F152*$B$247,0))</f>
        <v/>
      </c>
      <c r="N152">
        <f>IF(M152="","",ROUND(M152*$B$248,0))</f>
        <v/>
      </c>
      <c r="O152">
        <f>IF(N152="","",ROUND(N152*$B$249,0))</f>
        <v/>
      </c>
      <c r="P152" s="3">
        <f>IF(O152="","",ROUND(O152*7.30,0))</f>
        <v/>
      </c>
      <c r="Q152" s="3">
        <f>IF(L152="","",L152+P152)</f>
        <v/>
      </c>
    </row>
    <row r="153">
      <c r="A153" s="1" t="inlineStr">
        <is>
          <t>Tier 3</t>
        </is>
      </c>
      <c r="B153" s="1" t="inlineStr">
        <is>
          <t>dk</t>
        </is>
      </c>
      <c r="E153" s="1">
        <f>IFERROR(ROUND(C153/D153,0),"")</f>
        <v/>
      </c>
      <c r="F153" s="1">
        <f>IF(D153="","",D153*$B$244)</f>
        <v/>
      </c>
      <c r="G153" s="1">
        <f>IF(F153="","",ROUND(F153*$B$246,0))</f>
        <v/>
      </c>
      <c r="H153" s="3">
        <f>IF(G153="","",ROUND(G153*10/1000,0))</f>
        <v/>
      </c>
      <c r="I153" s="3">
        <f>IF(G153="","",ROUND(G153*15/1000,0))</f>
        <v/>
      </c>
      <c r="J153" s="3">
        <f>IF(G153="","",ROUND(G153*20/1000,0))</f>
        <v/>
      </c>
      <c r="K153" s="1">
        <f>IF(F153="","",ROUND(F153*0.10,0))</f>
        <v/>
      </c>
      <c r="L153" s="3">
        <f>IF(K153="","",ROUND(K153*5/1000,0))</f>
        <v/>
      </c>
      <c r="M153" s="1">
        <f>IF(F153="","",ROUND(F153*$B$247,0))</f>
        <v/>
      </c>
      <c r="N153">
        <f>IF(M153="","",ROUND(M153*$B$248,0))</f>
        <v/>
      </c>
      <c r="O153">
        <f>IF(N153="","",ROUND(N153*$B$249,0))</f>
        <v/>
      </c>
      <c r="P153" s="3">
        <f>IF(O153="","",ROUND(O153*7.30,0))</f>
        <v/>
      </c>
      <c r="Q153" s="3">
        <f>IF(L153="","",L153+P153)</f>
        <v/>
      </c>
    </row>
    <row r="154">
      <c r="A154" s="1" t="inlineStr">
        <is>
          <t>Tier 3</t>
        </is>
      </c>
      <c r="B154" s="1" t="inlineStr">
        <is>
          <t>PM</t>
        </is>
      </c>
      <c r="E154" s="1">
        <f>IFERROR(ROUND(C154/D154,0),"")</f>
        <v/>
      </c>
      <c r="F154" s="1">
        <f>IF(D154="","",D154*$B$244)</f>
        <v/>
      </c>
      <c r="G154" s="1">
        <f>IF(F154="","",ROUND(F154*$B$246,0))</f>
        <v/>
      </c>
      <c r="H154" s="3">
        <f>IF(G154="","",ROUND(G154*10/1000,0))</f>
        <v/>
      </c>
      <c r="I154" s="3">
        <f>IF(G154="","",ROUND(G154*15/1000,0))</f>
        <v/>
      </c>
      <c r="J154" s="3">
        <f>IF(G154="","",ROUND(G154*20/1000,0))</f>
        <v/>
      </c>
      <c r="K154" s="1">
        <f>IF(F154="","",ROUND(F154*0.10,0))</f>
        <v/>
      </c>
      <c r="L154" s="3">
        <f>IF(K154="","",ROUND(K154*5/1000,0))</f>
        <v/>
      </c>
      <c r="M154" s="1">
        <f>IF(F154="","",ROUND(F154*$B$247,0))</f>
        <v/>
      </c>
      <c r="N154">
        <f>IF(M154="","",ROUND(M154*$B$248,0))</f>
        <v/>
      </c>
      <c r="O154">
        <f>IF(N154="","",ROUND(N154*$B$249,0))</f>
        <v/>
      </c>
      <c r="P154" s="3">
        <f>IF(O154="","",ROUND(O154*7.30,0))</f>
        <v/>
      </c>
      <c r="Q154" s="3">
        <f>IF(L154="","",L154+P154)</f>
        <v/>
      </c>
    </row>
    <row r="155">
      <c r="A155" s="1" t="inlineStr">
        <is>
          <t>Tier 3</t>
        </is>
      </c>
      <c r="B155" s="1" t="inlineStr">
        <is>
          <t>tr</t>
        </is>
      </c>
      <c r="E155" s="1">
        <f>IFERROR(ROUND(C155/D155,0),"")</f>
        <v/>
      </c>
      <c r="F155" s="1">
        <f>IF(D155="","",D155*$B$244)</f>
        <v/>
      </c>
      <c r="G155" s="1">
        <f>IF(F155="","",ROUND(F155*$B$246,0))</f>
        <v/>
      </c>
      <c r="H155" s="3">
        <f>IF(G155="","",ROUND(G155*10/1000,0))</f>
        <v/>
      </c>
      <c r="I155" s="3">
        <f>IF(G155="","",ROUND(G155*15/1000,0))</f>
        <v/>
      </c>
      <c r="J155" s="3">
        <f>IF(G155="","",ROUND(G155*20/1000,0))</f>
        <v/>
      </c>
      <c r="K155" s="1">
        <f>IF(F155="","",ROUND(F155*0.10,0))</f>
        <v/>
      </c>
      <c r="L155" s="3">
        <f>IF(K155="","",ROUND(K155*5/1000,0))</f>
        <v/>
      </c>
      <c r="M155" s="1">
        <f>IF(F155="","",ROUND(F155*$B$247,0))</f>
        <v/>
      </c>
      <c r="N155">
        <f>IF(M155="","",ROUND(M155*$B$248,0))</f>
        <v/>
      </c>
      <c r="O155">
        <f>IF(N155="","",ROUND(N155*$B$249,0))</f>
        <v/>
      </c>
      <c r="P155" s="3">
        <f>IF(O155="","",ROUND(O155*7.30,0))</f>
        <v/>
      </c>
      <c r="Q155" s="3">
        <f>IF(L155="","",L155+P155)</f>
        <v/>
      </c>
    </row>
    <row r="156">
      <c r="A156" s="1" t="inlineStr">
        <is>
          <t>Tier 3</t>
        </is>
      </c>
      <c r="B156" s="1" t="inlineStr">
        <is>
          <t>de</t>
        </is>
      </c>
      <c r="E156" s="1">
        <f>IFERROR(ROUND(C156/D156,0),"")</f>
        <v/>
      </c>
      <c r="F156" s="1">
        <f>IF(D156="","",D156*$B$244)</f>
        <v/>
      </c>
      <c r="G156" s="1">
        <f>IF(F156="","",ROUND(F156*$B$246,0))</f>
        <v/>
      </c>
      <c r="H156" s="3">
        <f>IF(G156="","",ROUND(G156*10/1000,0))</f>
        <v/>
      </c>
      <c r="I156" s="3">
        <f>IF(G156="","",ROUND(G156*15/1000,0))</f>
        <v/>
      </c>
      <c r="J156" s="3">
        <f>IF(G156="","",ROUND(G156*20/1000,0))</f>
        <v/>
      </c>
      <c r="K156" s="1">
        <f>IF(F156="","",ROUND(F156*0.10,0))</f>
        <v/>
      </c>
      <c r="L156" s="3">
        <f>IF(K156="","",ROUND(K156*5/1000,0))</f>
        <v/>
      </c>
      <c r="M156" s="1">
        <f>IF(F156="","",ROUND(F156*$B$247,0))</f>
        <v/>
      </c>
      <c r="N156">
        <f>IF(M156="","",ROUND(M156*$B$248,0))</f>
        <v/>
      </c>
      <c r="O156">
        <f>IF(N156="","",ROUND(N156*$B$249,0))</f>
        <v/>
      </c>
      <c r="P156" s="3">
        <f>IF(O156="","",ROUND(O156*7.30,0))</f>
        <v/>
      </c>
      <c r="Q156" s="3">
        <f>IF(L156="","",L156+P156)</f>
        <v/>
      </c>
    </row>
    <row r="157">
      <c r="A157" s="1" t="inlineStr">
        <is>
          <t>Tier 3</t>
        </is>
      </c>
      <c r="B157" s="1" t="inlineStr">
        <is>
          <t>BB</t>
        </is>
      </c>
      <c r="E157" s="1">
        <f>IFERROR(ROUND(C157/D157,0),"")</f>
        <v/>
      </c>
      <c r="F157" s="1">
        <f>IF(D157="","",D157*$B$244)</f>
        <v/>
      </c>
      <c r="G157" s="1">
        <f>IF(F157="","",ROUND(F157*$B$246,0))</f>
        <v/>
      </c>
      <c r="H157" s="3">
        <f>IF(G157="","",ROUND(G157*10/1000,0))</f>
        <v/>
      </c>
      <c r="I157" s="3">
        <f>IF(G157="","",ROUND(G157*15/1000,0))</f>
        <v/>
      </c>
      <c r="J157" s="3">
        <f>IF(G157="","",ROUND(G157*20/1000,0))</f>
        <v/>
      </c>
      <c r="K157" s="1">
        <f>IF(F157="","",ROUND(F157*0.10,0))</f>
        <v/>
      </c>
      <c r="L157" s="3">
        <f>IF(K157="","",ROUND(K157*5/1000,0))</f>
        <v/>
      </c>
      <c r="M157" s="1">
        <f>IF(F157="","",ROUND(F157*$B$247,0))</f>
        <v/>
      </c>
      <c r="N157">
        <f>IF(M157="","",ROUND(M157*$B$248,0))</f>
        <v/>
      </c>
      <c r="O157">
        <f>IF(N157="","",ROUND(N157*$B$249,0))</f>
        <v/>
      </c>
      <c r="P157" s="3">
        <f>IF(O157="","",ROUND(O157*7.30,0))</f>
        <v/>
      </c>
      <c r="Q157" s="3">
        <f>IF(L157="","",L157+P157)</f>
        <v/>
      </c>
    </row>
    <row r="158">
      <c r="A158" s="1" t="inlineStr">
        <is>
          <t>Tier 3</t>
        </is>
      </c>
      <c r="B158" s="1" t="inlineStr">
        <is>
          <t>TD</t>
        </is>
      </c>
      <c r="E158" s="1">
        <f>IFERROR(ROUND(C158/D158,0),"")</f>
        <v/>
      </c>
      <c r="F158" s="1">
        <f>IF(D158="","",D158*$B$244)</f>
        <v/>
      </c>
      <c r="G158" s="1">
        <f>IF(F158="","",ROUND(F158*$B$246,0))</f>
        <v/>
      </c>
      <c r="H158" s="3">
        <f>IF(G158="","",ROUND(G158*10/1000,0))</f>
        <v/>
      </c>
      <c r="I158" s="3">
        <f>IF(G158="","",ROUND(G158*15/1000,0))</f>
        <v/>
      </c>
      <c r="J158" s="3">
        <f>IF(G158="","",ROUND(G158*20/1000,0))</f>
        <v/>
      </c>
      <c r="K158" s="1">
        <f>IF(F158="","",ROUND(F158*0.10,0))</f>
        <v/>
      </c>
      <c r="L158" s="3">
        <f>IF(K158="","",ROUND(K158*5/1000,0))</f>
        <v/>
      </c>
      <c r="M158" s="1">
        <f>IF(F158="","",ROUND(F158*$B$247,0))</f>
        <v/>
      </c>
      <c r="N158">
        <f>IF(M158="","",ROUND(M158*$B$248,0))</f>
        <v/>
      </c>
      <c r="O158">
        <f>IF(N158="","",ROUND(N158*$B$249,0))</f>
        <v/>
      </c>
      <c r="P158" s="3">
        <f>IF(O158="","",ROUND(O158*7.30,0))</f>
        <v/>
      </c>
      <c r="Q158" s="3">
        <f>IF(L158="","",L158+P158)</f>
        <v/>
      </c>
    </row>
    <row r="159">
      <c r="A159" s="1" t="inlineStr">
        <is>
          <t>Tier 3</t>
        </is>
      </c>
      <c r="B159" s="1" t="inlineStr">
        <is>
          <t>GA</t>
        </is>
      </c>
      <c r="E159" s="1">
        <f>IFERROR(ROUND(C159/D159,0),"")</f>
        <v/>
      </c>
      <c r="F159" s="1">
        <f>IF(D159="","",D159*$B$244)</f>
        <v/>
      </c>
      <c r="G159" s="1">
        <f>IF(F159="","",ROUND(F159*$B$246,0))</f>
        <v/>
      </c>
      <c r="H159" s="3">
        <f>IF(G159="","",ROUND(G159*10/1000,0))</f>
        <v/>
      </c>
      <c r="I159" s="3">
        <f>IF(G159="","",ROUND(G159*15/1000,0))</f>
        <v/>
      </c>
      <c r="J159" s="3">
        <f>IF(G159="","",ROUND(G159*20/1000,0))</f>
        <v/>
      </c>
      <c r="K159" s="1">
        <f>IF(F159="","",ROUND(F159*0.10,0))</f>
        <v/>
      </c>
      <c r="L159" s="3">
        <f>IF(K159="","",ROUND(K159*5/1000,0))</f>
        <v/>
      </c>
      <c r="M159" s="1">
        <f>IF(F159="","",ROUND(F159*$B$247,0))</f>
        <v/>
      </c>
      <c r="N159">
        <f>IF(M159="","",ROUND(M159*$B$248,0))</f>
        <v/>
      </c>
      <c r="O159">
        <f>IF(N159="","",ROUND(N159*$B$249,0))</f>
        <v/>
      </c>
      <c r="P159" s="3">
        <f>IF(O159="","",ROUND(O159*7.30,0))</f>
        <v/>
      </c>
      <c r="Q159" s="3">
        <f>IF(L159="","",L159+P159)</f>
        <v/>
      </c>
    </row>
    <row r="160">
      <c r="A160" s="1" t="inlineStr">
        <is>
          <t>Tier 3</t>
        </is>
      </c>
      <c r="B160" s="1" t="inlineStr">
        <is>
          <t>GH</t>
        </is>
      </c>
      <c r="E160" s="1">
        <f>IFERROR(ROUND(C160/D160,0),"")</f>
        <v/>
      </c>
      <c r="F160" s="1">
        <f>IF(D160="","",D160*$B$244)</f>
        <v/>
      </c>
      <c r="G160" s="1">
        <f>IF(F160="","",ROUND(F160*$B$246,0))</f>
        <v/>
      </c>
      <c r="H160" s="3">
        <f>IF(G160="","",ROUND(G160*10/1000,0))</f>
        <v/>
      </c>
      <c r="I160" s="3">
        <f>IF(G160="","",ROUND(G160*15/1000,0))</f>
        <v/>
      </c>
      <c r="J160" s="3">
        <f>IF(G160="","",ROUND(G160*20/1000,0))</f>
        <v/>
      </c>
      <c r="K160" s="1">
        <f>IF(F160="","",ROUND(F160*0.10,0))</f>
        <v/>
      </c>
      <c r="L160" s="3">
        <f>IF(K160="","",ROUND(K160*5/1000,0))</f>
        <v/>
      </c>
      <c r="M160" s="1">
        <f>IF(F160="","",ROUND(F160*$B$247,0))</f>
        <v/>
      </c>
      <c r="N160">
        <f>IF(M160="","",ROUND(M160*$B$248,0))</f>
        <v/>
      </c>
      <c r="O160">
        <f>IF(N160="","",ROUND(N160*$B$249,0))</f>
        <v/>
      </c>
      <c r="P160" s="3">
        <f>IF(O160="","",ROUND(O160*7.30,0))</f>
        <v/>
      </c>
      <c r="Q160" s="3">
        <f>IF(L160="","",L160+P160)</f>
        <v/>
      </c>
    </row>
    <row r="161">
      <c r="A161" s="1" t="inlineStr">
        <is>
          <t>Tier 3</t>
        </is>
      </c>
      <c r="B161" s="1" t="inlineStr">
        <is>
          <t>ua</t>
        </is>
      </c>
      <c r="E161" s="1">
        <f>IFERROR(ROUND(C161/D161,0),"")</f>
        <v/>
      </c>
      <c r="F161" s="1">
        <f>IF(D161="","",D161*$B$244)</f>
        <v/>
      </c>
      <c r="G161" s="1">
        <f>IF(F161="","",ROUND(F161*$B$246,0))</f>
        <v/>
      </c>
      <c r="H161" s="3">
        <f>IF(G161="","",ROUND(G161*10/1000,0))</f>
        <v/>
      </c>
      <c r="I161" s="3">
        <f>IF(G161="","",ROUND(G161*15/1000,0))</f>
        <v/>
      </c>
      <c r="J161" s="3">
        <f>IF(G161="","",ROUND(G161*20/1000,0))</f>
        <v/>
      </c>
      <c r="K161" s="1">
        <f>IF(F161="","",ROUND(F161*0.10,0))</f>
        <v/>
      </c>
      <c r="L161" s="3">
        <f>IF(K161="","",ROUND(K161*5/1000,0))</f>
        <v/>
      </c>
      <c r="M161" s="1">
        <f>IF(F161="","",ROUND(F161*$B$247,0))</f>
        <v/>
      </c>
      <c r="N161">
        <f>IF(M161="","",ROUND(M161*$B$248,0))</f>
        <v/>
      </c>
      <c r="O161">
        <f>IF(N161="","",ROUND(N161*$B$249,0))</f>
        <v/>
      </c>
      <c r="P161" s="3">
        <f>IF(O161="","",ROUND(O161*7.30,0))</f>
        <v/>
      </c>
      <c r="Q161" s="3">
        <f>IF(L161="","",L161+P161)</f>
        <v/>
      </c>
    </row>
    <row r="162">
      <c r="A162" s="1" t="inlineStr">
        <is>
          <t>Tier 3</t>
        </is>
      </c>
      <c r="B162" s="1" t="inlineStr">
        <is>
          <t>AF</t>
        </is>
      </c>
      <c r="E162" s="1">
        <f>IFERROR(ROUND(C162/D162,0),"")</f>
        <v/>
      </c>
      <c r="F162" s="1">
        <f>IF(D162="","",D162*$B$244)</f>
        <v/>
      </c>
      <c r="G162" s="1">
        <f>IF(F162="","",ROUND(F162*$B$246,0))</f>
        <v/>
      </c>
      <c r="H162" s="3">
        <f>IF(G162="","",ROUND(G162*10/1000,0))</f>
        <v/>
      </c>
      <c r="I162" s="3">
        <f>IF(G162="","",ROUND(G162*15/1000,0))</f>
        <v/>
      </c>
      <c r="J162" s="3">
        <f>IF(G162="","",ROUND(G162*20/1000,0))</f>
        <v/>
      </c>
      <c r="K162" s="1">
        <f>IF(F162="","",ROUND(F162*0.10,0))</f>
        <v/>
      </c>
      <c r="L162" s="3">
        <f>IF(K162="","",ROUND(K162*5/1000,0))</f>
        <v/>
      </c>
      <c r="M162" s="1">
        <f>IF(F162="","",ROUND(F162*$B$247,0))</f>
        <v/>
      </c>
      <c r="N162">
        <f>IF(M162="","",ROUND(M162*$B$248,0))</f>
        <v/>
      </c>
      <c r="O162">
        <f>IF(N162="","",ROUND(N162*$B$249,0))</f>
        <v/>
      </c>
      <c r="P162" s="3">
        <f>IF(O162="","",ROUND(O162*7.30,0))</f>
        <v/>
      </c>
      <c r="Q162" s="3">
        <f>IF(L162="","",L162+P162)</f>
        <v/>
      </c>
    </row>
    <row r="163">
      <c r="A163" s="1" t="inlineStr">
        <is>
          <t>Tier 3</t>
        </is>
      </c>
      <c r="B163" s="1" t="inlineStr">
        <is>
          <t>GI</t>
        </is>
      </c>
      <c r="E163" s="1">
        <f>IFERROR(ROUND(C163/D163,0),"")</f>
        <v/>
      </c>
      <c r="F163" s="1">
        <f>IF(D163="","",D163*$B$244)</f>
        <v/>
      </c>
      <c r="G163" s="1">
        <f>IF(F163="","",ROUND(F163*$B$246,0))</f>
        <v/>
      </c>
      <c r="H163" s="3">
        <f>IF(G163="","",ROUND(G163*10/1000,0))</f>
        <v/>
      </c>
      <c r="I163" s="3">
        <f>IF(G163="","",ROUND(G163*15/1000,0))</f>
        <v/>
      </c>
      <c r="J163" s="3">
        <f>IF(G163="","",ROUND(G163*20/1000,0))</f>
        <v/>
      </c>
      <c r="K163" s="1">
        <f>IF(F163="","",ROUND(F163*0.10,0))</f>
        <v/>
      </c>
      <c r="L163" s="3">
        <f>IF(K163="","",ROUND(K163*5/1000,0))</f>
        <v/>
      </c>
      <c r="M163" s="1">
        <f>IF(F163="","",ROUND(F163*$B$247,0))</f>
        <v/>
      </c>
      <c r="N163">
        <f>IF(M163="","",ROUND(M163*$B$248,0))</f>
        <v/>
      </c>
      <c r="O163">
        <f>IF(N163="","",ROUND(N163*$B$249,0))</f>
        <v/>
      </c>
      <c r="P163" s="3">
        <f>IF(O163="","",ROUND(O163*7.30,0))</f>
        <v/>
      </c>
      <c r="Q163" s="3">
        <f>IF(L163="","",L163+P163)</f>
        <v/>
      </c>
    </row>
    <row r="164">
      <c r="A164" s="1" t="inlineStr">
        <is>
          <t>Tier 3</t>
        </is>
      </c>
      <c r="B164" s="1" t="inlineStr">
        <is>
          <t>GY</t>
        </is>
      </c>
      <c r="E164" s="1">
        <f>IFERROR(ROUND(C164/D164,0),"")</f>
        <v/>
      </c>
      <c r="F164" s="1">
        <f>IF(D164="","",D164*$B$244)</f>
        <v/>
      </c>
      <c r="G164" s="1">
        <f>IF(F164="","",ROUND(F164*$B$246,0))</f>
        <v/>
      </c>
      <c r="H164" s="3">
        <f>IF(G164="","",ROUND(G164*10/1000,0))</f>
        <v/>
      </c>
      <c r="I164" s="3">
        <f>IF(G164="","",ROUND(G164*15/1000,0))</f>
        <v/>
      </c>
      <c r="J164" s="3">
        <f>IF(G164="","",ROUND(G164*20/1000,0))</f>
        <v/>
      </c>
      <c r="K164" s="1">
        <f>IF(F164="","",ROUND(F164*0.10,0))</f>
        <v/>
      </c>
      <c r="L164" s="3">
        <f>IF(K164="","",ROUND(K164*5/1000,0))</f>
        <v/>
      </c>
      <c r="M164" s="1">
        <f>IF(F164="","",ROUND(F164*$B$247,0))</f>
        <v/>
      </c>
      <c r="N164">
        <f>IF(M164="","",ROUND(M164*$B$248,0))</f>
        <v/>
      </c>
      <c r="O164">
        <f>IF(N164="","",ROUND(N164*$B$249,0))</f>
        <v/>
      </c>
      <c r="P164" s="3">
        <f>IF(O164="","",ROUND(O164*7.30,0))</f>
        <v/>
      </c>
      <c r="Q164" s="3">
        <f>IF(L164="","",L164+P164)</f>
        <v/>
      </c>
    </row>
    <row r="165">
      <c r="A165" s="1" t="inlineStr">
        <is>
          <t>Tier 3</t>
        </is>
      </c>
      <c r="B165" s="1" t="inlineStr">
        <is>
          <t>PF</t>
        </is>
      </c>
      <c r="E165" s="1">
        <f>IFERROR(ROUND(C165/D165,0),"")</f>
        <v/>
      </c>
      <c r="F165" s="1">
        <f>IF(D165="","",D165*$B$244)</f>
        <v/>
      </c>
      <c r="G165" s="1">
        <f>IF(F165="","",ROUND(F165*$B$246,0))</f>
        <v/>
      </c>
      <c r="H165" s="3">
        <f>IF(G165="","",ROUND(G165*10/1000,0))</f>
        <v/>
      </c>
      <c r="I165" s="3">
        <f>IF(G165="","",ROUND(G165*15/1000,0))</f>
        <v/>
      </c>
      <c r="J165" s="3">
        <f>IF(G165="","",ROUND(G165*20/1000,0))</f>
        <v/>
      </c>
      <c r="K165" s="1">
        <f>IF(F165="","",ROUND(F165*0.10,0))</f>
        <v/>
      </c>
      <c r="L165" s="3">
        <f>IF(K165="","",ROUND(K165*5/1000,0))</f>
        <v/>
      </c>
      <c r="M165" s="1">
        <f>IF(F165="","",ROUND(F165*$B$247,0))</f>
        <v/>
      </c>
      <c r="N165">
        <f>IF(M165="","",ROUND(M165*$B$248,0))</f>
        <v/>
      </c>
      <c r="O165">
        <f>IF(N165="","",ROUND(N165*$B$249,0))</f>
        <v/>
      </c>
      <c r="P165" s="3">
        <f>IF(O165="","",ROUND(O165*7.30,0))</f>
        <v/>
      </c>
      <c r="Q165" s="3">
        <f>IF(L165="","",L165+P165)</f>
        <v/>
      </c>
    </row>
    <row r="166">
      <c r="A166" s="1" t="inlineStr">
        <is>
          <t>Tier 3</t>
        </is>
      </c>
      <c r="B166" s="1" t="inlineStr">
        <is>
          <t>LR</t>
        </is>
      </c>
      <c r="E166" s="1">
        <f>IFERROR(ROUND(C166/D166,0),"")</f>
        <v/>
      </c>
      <c r="F166" s="1">
        <f>IF(D166="","",D166*$B$244)</f>
        <v/>
      </c>
      <c r="G166" s="1">
        <f>IF(F166="","",ROUND(F166*$B$246,0))</f>
        <v/>
      </c>
      <c r="H166" s="3">
        <f>IF(G166="","",ROUND(G166*10/1000,0))</f>
        <v/>
      </c>
      <c r="I166" s="3">
        <f>IF(G166="","",ROUND(G166*15/1000,0))</f>
        <v/>
      </c>
      <c r="J166" s="3">
        <f>IF(G166="","",ROUND(G166*20/1000,0))</f>
        <v/>
      </c>
      <c r="K166" s="1">
        <f>IF(F166="","",ROUND(F166*0.10,0))</f>
        <v/>
      </c>
      <c r="L166" s="3">
        <f>IF(K166="","",ROUND(K166*5/1000,0))</f>
        <v/>
      </c>
      <c r="M166" s="1">
        <f>IF(F166="","",ROUND(F166*$B$247,0))</f>
        <v/>
      </c>
      <c r="N166">
        <f>IF(M166="","",ROUND(M166*$B$248,0))</f>
        <v/>
      </c>
      <c r="O166">
        <f>IF(N166="","",ROUND(N166*$B$249,0))</f>
        <v/>
      </c>
      <c r="P166" s="3">
        <f>IF(O166="","",ROUND(O166*7.30,0))</f>
        <v/>
      </c>
      <c r="Q166" s="3">
        <f>IF(L166="","",L166+P166)</f>
        <v/>
      </c>
    </row>
    <row r="167">
      <c r="A167" s="1" t="inlineStr">
        <is>
          <t>Tier 3</t>
        </is>
      </c>
      <c r="B167" s="1" t="inlineStr">
        <is>
          <t>CU</t>
        </is>
      </c>
      <c r="E167" s="1">
        <f>IFERROR(ROUND(C167/D167,0),"")</f>
        <v/>
      </c>
      <c r="F167" s="1">
        <f>IF(D167="","",D167*$B$244)</f>
        <v/>
      </c>
      <c r="G167" s="1">
        <f>IF(F167="","",ROUND(F167*$B$246,0))</f>
        <v/>
      </c>
      <c r="H167" s="3">
        <f>IF(G167="","",ROUND(G167*10/1000,0))</f>
        <v/>
      </c>
      <c r="I167" s="3">
        <f>IF(G167="","",ROUND(G167*15/1000,0))</f>
        <v/>
      </c>
      <c r="J167" s="3">
        <f>IF(G167="","",ROUND(G167*20/1000,0))</f>
        <v/>
      </c>
      <c r="K167" s="1">
        <f>IF(F167="","",ROUND(F167*0.10,0))</f>
        <v/>
      </c>
      <c r="L167" s="3">
        <f>IF(K167="","",ROUND(K167*5/1000,0))</f>
        <v/>
      </c>
      <c r="M167" s="1">
        <f>IF(F167="","",ROUND(F167*$B$247,0))</f>
        <v/>
      </c>
      <c r="N167">
        <f>IF(M167="","",ROUND(M167*$B$248,0))</f>
        <v/>
      </c>
      <c r="O167">
        <f>IF(N167="","",ROUND(N167*$B$249,0))</f>
        <v/>
      </c>
      <c r="P167" s="3">
        <f>IF(O167="","",ROUND(O167*7.30,0))</f>
        <v/>
      </c>
      <c r="Q167" s="3">
        <f>IF(L167="","",L167+P167)</f>
        <v/>
      </c>
    </row>
    <row r="168">
      <c r="A168" s="1" t="inlineStr">
        <is>
          <t>Tier 3</t>
        </is>
      </c>
      <c r="B168" s="1" t="inlineStr">
        <is>
          <t>MR</t>
        </is>
      </c>
      <c r="E168" s="1">
        <f>IFERROR(ROUND(C168/D168,0),"")</f>
        <v/>
      </c>
      <c r="F168" s="1">
        <f>IF(D168="","",D168*$B$244)</f>
        <v/>
      </c>
      <c r="G168" s="1">
        <f>IF(F168="","",ROUND(F168*$B$246,0))</f>
        <v/>
      </c>
      <c r="H168" s="3">
        <f>IF(G168="","",ROUND(G168*10/1000,0))</f>
        <v/>
      </c>
      <c r="I168" s="3">
        <f>IF(G168="","",ROUND(G168*15/1000,0))</f>
        <v/>
      </c>
      <c r="J168" s="3">
        <f>IF(G168="","",ROUND(G168*20/1000,0))</f>
        <v/>
      </c>
      <c r="K168" s="1">
        <f>IF(F168="","",ROUND(F168*0.10,0))</f>
        <v/>
      </c>
      <c r="L168" s="3">
        <f>IF(K168="","",ROUND(K168*5/1000,0))</f>
        <v/>
      </c>
      <c r="M168" s="1">
        <f>IF(F168="","",ROUND(F168*$B$247,0))</f>
        <v/>
      </c>
      <c r="N168">
        <f>IF(M168="","",ROUND(M168*$B$248,0))</f>
        <v/>
      </c>
      <c r="O168">
        <f>IF(N168="","",ROUND(N168*$B$249,0))</f>
        <v/>
      </c>
      <c r="P168" s="3">
        <f>IF(O168="","",ROUND(O168*7.30,0))</f>
        <v/>
      </c>
      <c r="Q168" s="3">
        <f>IF(L168="","",L168+P168)</f>
        <v/>
      </c>
    </row>
    <row r="169">
      <c r="A169" s="1" t="inlineStr">
        <is>
          <t>Tier 3</t>
        </is>
      </c>
      <c r="B169" s="1" t="inlineStr">
        <is>
          <t>DJ</t>
        </is>
      </c>
      <c r="E169" s="1">
        <f>IFERROR(ROUND(C169/D169,0),"")</f>
        <v/>
      </c>
      <c r="F169" s="1">
        <f>IF(D169="","",D169*$B$244)</f>
        <v/>
      </c>
      <c r="G169" s="1">
        <f>IF(F169="","",ROUND(F169*$B$246,0))</f>
        <v/>
      </c>
      <c r="H169" s="3">
        <f>IF(G169="","",ROUND(G169*10/1000,0))</f>
        <v/>
      </c>
      <c r="I169" s="3">
        <f>IF(G169="","",ROUND(G169*15/1000,0))</f>
        <v/>
      </c>
      <c r="J169" s="3">
        <f>IF(G169="","",ROUND(G169*20/1000,0))</f>
        <v/>
      </c>
      <c r="K169" s="1">
        <f>IF(F169="","",ROUND(F169*0.10,0))</f>
        <v/>
      </c>
      <c r="L169" s="3">
        <f>IF(K169="","",ROUND(K169*5/1000,0))</f>
        <v/>
      </c>
      <c r="M169" s="1">
        <f>IF(F169="","",ROUND(F169*$B$247,0))</f>
        <v/>
      </c>
      <c r="N169">
        <f>IF(M169="","",ROUND(M169*$B$248,0))</f>
        <v/>
      </c>
      <c r="O169">
        <f>IF(N169="","",ROUND(N169*$B$249,0))</f>
        <v/>
      </c>
      <c r="P169" s="3">
        <f>IF(O169="","",ROUND(O169*7.30,0))</f>
        <v/>
      </c>
      <c r="Q169" s="3">
        <f>IF(L169="","",L169+P169)</f>
        <v/>
      </c>
    </row>
    <row r="170">
      <c r="A170" s="1" t="inlineStr">
        <is>
          <t>Tier 3</t>
        </is>
      </c>
      <c r="B170" s="1" t="inlineStr">
        <is>
          <t>ca</t>
        </is>
      </c>
      <c r="E170" s="1">
        <f>IFERROR(ROUND(C170/D170,0),"")</f>
        <v/>
      </c>
      <c r="F170" s="1">
        <f>IF(D170="","",D170*$B$244)</f>
        <v/>
      </c>
      <c r="G170" s="1">
        <f>IF(F170="","",ROUND(F170*$B$246,0))</f>
        <v/>
      </c>
      <c r="H170" s="3">
        <f>IF(G170="","",ROUND(G170*10/1000,0))</f>
        <v/>
      </c>
      <c r="I170" s="3">
        <f>IF(G170="","",ROUND(G170*15/1000,0))</f>
        <v/>
      </c>
      <c r="J170" s="3">
        <f>IF(G170="","",ROUND(G170*20/1000,0))</f>
        <v/>
      </c>
      <c r="K170" s="1">
        <f>IF(F170="","",ROUND(F170*0.10,0))</f>
        <v/>
      </c>
      <c r="L170" s="3">
        <f>IF(K170="","",ROUND(K170*5/1000,0))</f>
        <v/>
      </c>
      <c r="M170" s="1">
        <f>IF(F170="","",ROUND(F170*$B$247,0))</f>
        <v/>
      </c>
      <c r="N170">
        <f>IF(M170="","",ROUND(M170*$B$248,0))</f>
        <v/>
      </c>
      <c r="O170">
        <f>IF(N170="","",ROUND(N170*$B$249,0))</f>
        <v/>
      </c>
      <c r="P170" s="3">
        <f>IF(O170="","",ROUND(O170*7.30,0))</f>
        <v/>
      </c>
      <c r="Q170" s="3">
        <f>IF(L170="","",L170+P170)</f>
        <v/>
      </c>
    </row>
    <row r="171">
      <c r="A171" s="1" t="inlineStr">
        <is>
          <t>Tier 3</t>
        </is>
      </c>
      <c r="B171" s="1" t="inlineStr">
        <is>
          <t>MG</t>
        </is>
      </c>
      <c r="E171" s="1">
        <f>IFERROR(ROUND(C171/D171,0),"")</f>
        <v/>
      </c>
      <c r="F171" s="1">
        <f>IF(D171="","",D171*$B$244)</f>
        <v/>
      </c>
      <c r="G171" s="1">
        <f>IF(F171="","",ROUND(F171*$B$246,0))</f>
        <v/>
      </c>
      <c r="H171" s="3">
        <f>IF(G171="","",ROUND(G171*10/1000,0))</f>
        <v/>
      </c>
      <c r="I171" s="3">
        <f>IF(G171="","",ROUND(G171*15/1000,0))</f>
        <v/>
      </c>
      <c r="J171" s="3">
        <f>IF(G171="","",ROUND(G171*20/1000,0))</f>
        <v/>
      </c>
      <c r="K171" s="1">
        <f>IF(F171="","",ROUND(F171*0.10,0))</f>
        <v/>
      </c>
      <c r="L171" s="3">
        <f>IF(K171="","",ROUND(K171*5/1000,0))</f>
        <v/>
      </c>
      <c r="M171" s="1">
        <f>IF(F171="","",ROUND(F171*$B$247,0))</f>
        <v/>
      </c>
      <c r="N171">
        <f>IF(M171="","",ROUND(M171*$B$248,0))</f>
        <v/>
      </c>
      <c r="O171">
        <f>IF(N171="","",ROUND(N171*$B$249,0))</f>
        <v/>
      </c>
      <c r="P171" s="3">
        <f>IF(O171="","",ROUND(O171*7.30,0))</f>
        <v/>
      </c>
      <c r="Q171" s="3">
        <f>IF(L171="","",L171+P171)</f>
        <v/>
      </c>
    </row>
    <row r="172">
      <c r="A172" s="1" t="inlineStr">
        <is>
          <t>Tier 3</t>
        </is>
      </c>
      <c r="B172" s="1" t="inlineStr">
        <is>
          <t>nl</t>
        </is>
      </c>
      <c r="E172" s="1">
        <f>IFERROR(ROUND(C172/D172,0),"")</f>
        <v/>
      </c>
      <c r="F172" s="1">
        <f>IF(D172="","",D172*$B$244)</f>
        <v/>
      </c>
      <c r="G172" s="1">
        <f>IF(F172="","",ROUND(F172*$B$246,0))</f>
        <v/>
      </c>
      <c r="H172" s="3">
        <f>IF(G172="","",ROUND(G172*10/1000,0))</f>
        <v/>
      </c>
      <c r="I172" s="3">
        <f>IF(G172="","",ROUND(G172*15/1000,0))</f>
        <v/>
      </c>
      <c r="J172" s="3">
        <f>IF(G172="","",ROUND(G172*20/1000,0))</f>
        <v/>
      </c>
      <c r="K172" s="1">
        <f>IF(F172="","",ROUND(F172*0.10,0))</f>
        <v/>
      </c>
      <c r="L172" s="3">
        <f>IF(K172="","",ROUND(K172*5/1000,0))</f>
        <v/>
      </c>
      <c r="M172" s="1">
        <f>IF(F172="","",ROUND(F172*$B$247,0))</f>
        <v/>
      </c>
      <c r="N172">
        <f>IF(M172="","",ROUND(M172*$B$248,0))</f>
        <v/>
      </c>
      <c r="O172">
        <f>IF(N172="","",ROUND(N172*$B$249,0))</f>
        <v/>
      </c>
      <c r="P172" s="3">
        <f>IF(O172="","",ROUND(O172*7.30,0))</f>
        <v/>
      </c>
      <c r="Q172" s="3">
        <f>IF(L172="","",L172+P172)</f>
        <v/>
      </c>
    </row>
    <row r="173">
      <c r="A173" s="1" t="inlineStr">
        <is>
          <t>Tier 3</t>
        </is>
      </c>
      <c r="B173" s="1" t="inlineStr">
        <is>
          <t>AW</t>
        </is>
      </c>
      <c r="E173" s="1">
        <f>IFERROR(ROUND(C173/D173,0),"")</f>
        <v/>
      </c>
      <c r="F173" s="1">
        <f>IF(D173="","",D173*$B$244)</f>
        <v/>
      </c>
      <c r="G173" s="1">
        <f>IF(F173="","",ROUND(F173*$B$246,0))</f>
        <v/>
      </c>
      <c r="H173" s="3">
        <f>IF(G173="","",ROUND(G173*10/1000,0))</f>
        <v/>
      </c>
      <c r="I173" s="3">
        <f>IF(G173="","",ROUND(G173*15/1000,0))</f>
        <v/>
      </c>
      <c r="J173" s="3">
        <f>IF(G173="","",ROUND(G173*20/1000,0))</f>
        <v/>
      </c>
      <c r="K173" s="1">
        <f>IF(F173="","",ROUND(F173*0.10,0))</f>
        <v/>
      </c>
      <c r="L173" s="3">
        <f>IF(K173="","",ROUND(K173*5/1000,0))</f>
        <v/>
      </c>
      <c r="M173" s="1">
        <f>IF(F173="","",ROUND(F173*$B$247,0))</f>
        <v/>
      </c>
      <c r="N173">
        <f>IF(M173="","",ROUND(M173*$B$248,0))</f>
        <v/>
      </c>
      <c r="O173">
        <f>IF(N173="","",ROUND(N173*$B$249,0))</f>
        <v/>
      </c>
      <c r="P173" s="3">
        <f>IF(O173="","",ROUND(O173*7.30,0))</f>
        <v/>
      </c>
      <c r="Q173" s="3">
        <f>IF(L173="","",L173+P173)</f>
        <v/>
      </c>
    </row>
    <row r="174">
      <c r="A174" s="1" t="inlineStr">
        <is>
          <t>Tier 3</t>
        </is>
      </c>
      <c r="B174" s="1" t="inlineStr">
        <is>
          <t>il</t>
        </is>
      </c>
      <c r="E174" s="1">
        <f>IFERROR(ROUND(C174/D174,0),"")</f>
        <v/>
      </c>
      <c r="F174" s="1">
        <f>IF(D174="","",D174*$B$244)</f>
        <v/>
      </c>
      <c r="G174" s="1">
        <f>IF(F174="","",ROUND(F174*$B$246,0))</f>
        <v/>
      </c>
      <c r="H174" s="3">
        <f>IF(G174="","",ROUND(G174*10/1000,0))</f>
        <v/>
      </c>
      <c r="I174" s="3">
        <f>IF(G174="","",ROUND(G174*15/1000,0))</f>
        <v/>
      </c>
      <c r="J174" s="3">
        <f>IF(G174="","",ROUND(G174*20/1000,0))</f>
        <v/>
      </c>
      <c r="K174" s="1">
        <f>IF(F174="","",ROUND(F174*0.10,0))</f>
        <v/>
      </c>
      <c r="L174" s="3">
        <f>IF(K174="","",ROUND(K174*5/1000,0))</f>
        <v/>
      </c>
      <c r="M174" s="1">
        <f>IF(F174="","",ROUND(F174*$B$247,0))</f>
        <v/>
      </c>
      <c r="N174">
        <f>IF(M174="","",ROUND(M174*$B$248,0))</f>
        <v/>
      </c>
      <c r="O174">
        <f>IF(N174="","",ROUND(N174*$B$249,0))</f>
        <v/>
      </c>
      <c r="P174" s="3">
        <f>IF(O174="","",ROUND(O174*7.30,0))</f>
        <v/>
      </c>
      <c r="Q174" s="3">
        <f>IF(L174="","",L174+P174)</f>
        <v/>
      </c>
    </row>
    <row r="175">
      <c r="A175" s="1" t="inlineStr">
        <is>
          <t>Tier 3</t>
        </is>
      </c>
      <c r="B175" s="1" t="inlineStr">
        <is>
          <t>BQ</t>
        </is>
      </c>
      <c r="E175" s="1">
        <f>IFERROR(ROUND(C175/D175,0),"")</f>
        <v/>
      </c>
      <c r="F175" s="1">
        <f>IF(D175="","",D175*$B$244)</f>
        <v/>
      </c>
      <c r="G175" s="1">
        <f>IF(F175="","",ROUND(F175*$B$246,0))</f>
        <v/>
      </c>
      <c r="H175" s="3">
        <f>IF(G175="","",ROUND(G175*10/1000,0))</f>
        <v/>
      </c>
      <c r="I175" s="3">
        <f>IF(G175="","",ROUND(G175*15/1000,0))</f>
        <v/>
      </c>
      <c r="J175" s="3">
        <f>IF(G175="","",ROUND(G175*20/1000,0))</f>
        <v/>
      </c>
      <c r="K175" s="1">
        <f>IF(F175="","",ROUND(F175*0.10,0))</f>
        <v/>
      </c>
      <c r="L175" s="3">
        <f>IF(K175="","",ROUND(K175*5/1000,0))</f>
        <v/>
      </c>
      <c r="M175" s="1">
        <f>IF(F175="","",ROUND(F175*$B$247,0))</f>
        <v/>
      </c>
      <c r="N175">
        <f>IF(M175="","",ROUND(M175*$B$248,0))</f>
        <v/>
      </c>
      <c r="O175">
        <f>IF(N175="","",ROUND(N175*$B$249,0))</f>
        <v/>
      </c>
      <c r="P175" s="3">
        <f>IF(O175="","",ROUND(O175*7.30,0))</f>
        <v/>
      </c>
      <c r="Q175" s="3">
        <f>IF(L175="","",L175+P175)</f>
        <v/>
      </c>
    </row>
    <row r="176">
      <c r="A176" s="1" t="inlineStr">
        <is>
          <t>Tier 3</t>
        </is>
      </c>
      <c r="B176" s="1" t="inlineStr">
        <is>
          <t>BM</t>
        </is>
      </c>
      <c r="E176" s="1">
        <f>IFERROR(ROUND(C176/D176,0),"")</f>
        <v/>
      </c>
      <c r="F176" s="1">
        <f>IF(D176="","",D176*$B$244)</f>
        <v/>
      </c>
      <c r="G176" s="1">
        <f>IF(F176="","",ROUND(F176*$B$246,0))</f>
        <v/>
      </c>
      <c r="H176" s="3">
        <f>IF(G176="","",ROUND(G176*10/1000,0))</f>
        <v/>
      </c>
      <c r="I176" s="3">
        <f>IF(G176="","",ROUND(G176*15/1000,0))</f>
        <v/>
      </c>
      <c r="J176" s="3">
        <f>IF(G176="","",ROUND(G176*20/1000,0))</f>
        <v/>
      </c>
      <c r="K176" s="1">
        <f>IF(F176="","",ROUND(F176*0.10,0))</f>
        <v/>
      </c>
      <c r="L176" s="3">
        <f>IF(K176="","",ROUND(K176*5/1000,0))</f>
        <v/>
      </c>
      <c r="M176" s="1">
        <f>IF(F176="","",ROUND(F176*$B$247,0))</f>
        <v/>
      </c>
      <c r="N176">
        <f>IF(M176="","",ROUND(M176*$B$248,0))</f>
        <v/>
      </c>
      <c r="O176">
        <f>IF(N176="","",ROUND(N176*$B$249,0))</f>
        <v/>
      </c>
      <c r="P176" s="3">
        <f>IF(O176="","",ROUND(O176*7.30,0))</f>
        <v/>
      </c>
      <c r="Q176" s="3">
        <f>IF(L176="","",L176+P176)</f>
        <v/>
      </c>
    </row>
    <row r="177">
      <c r="A177" s="1" t="inlineStr">
        <is>
          <t>Tier 3</t>
        </is>
      </c>
      <c r="B177" s="1" t="inlineStr">
        <is>
          <t>SR</t>
        </is>
      </c>
      <c r="E177" s="1">
        <f>IFERROR(ROUND(C177/D177,0),"")</f>
        <v/>
      </c>
      <c r="F177" s="1">
        <f>IF(D177="","",D177*$B$244)</f>
        <v/>
      </c>
      <c r="G177" s="1">
        <f>IF(F177="","",ROUND(F177*$B$246,0))</f>
        <v/>
      </c>
      <c r="H177" s="3">
        <f>IF(G177="","",ROUND(G177*10/1000,0))</f>
        <v/>
      </c>
      <c r="I177" s="3">
        <f>IF(G177="","",ROUND(G177*15/1000,0))</f>
        <v/>
      </c>
      <c r="J177" s="3">
        <f>IF(G177="","",ROUND(G177*20/1000,0))</f>
        <v/>
      </c>
      <c r="K177" s="1">
        <f>IF(F177="","",ROUND(F177*0.10,0))</f>
        <v/>
      </c>
      <c r="L177" s="3">
        <f>IF(K177="","",ROUND(K177*5/1000,0))</f>
        <v/>
      </c>
      <c r="M177" s="1">
        <f>IF(F177="","",ROUND(F177*$B$247,0))</f>
        <v/>
      </c>
      <c r="N177">
        <f>IF(M177="","",ROUND(M177*$B$248,0))</f>
        <v/>
      </c>
      <c r="O177">
        <f>IF(N177="","",ROUND(N177*$B$249,0))</f>
        <v/>
      </c>
      <c r="P177" s="3">
        <f>IF(O177="","",ROUND(O177*7.30,0))</f>
        <v/>
      </c>
      <c r="Q177" s="3">
        <f>IF(L177="","",L177+P177)</f>
        <v/>
      </c>
    </row>
    <row r="178">
      <c r="A178" s="1" t="inlineStr">
        <is>
          <t>Tier 3</t>
        </is>
      </c>
      <c r="B178" s="1" t="inlineStr">
        <is>
          <t>ML</t>
        </is>
      </c>
      <c r="E178" s="1">
        <f>IFERROR(ROUND(C178/D178,0),"")</f>
        <v/>
      </c>
      <c r="F178" s="1">
        <f>IF(D178="","",D178*$B$244)</f>
        <v/>
      </c>
      <c r="G178" s="1">
        <f>IF(F178="","",ROUND(F178*$B$246,0))</f>
        <v/>
      </c>
      <c r="H178" s="3">
        <f>IF(G178="","",ROUND(G178*10/1000,0))</f>
        <v/>
      </c>
      <c r="I178" s="3">
        <f>IF(G178="","",ROUND(G178*15/1000,0))</f>
        <v/>
      </c>
      <c r="J178" s="3">
        <f>IF(G178="","",ROUND(G178*20/1000,0))</f>
        <v/>
      </c>
      <c r="K178" s="1">
        <f>IF(F178="","",ROUND(F178*0.10,0))</f>
        <v/>
      </c>
      <c r="L178" s="3">
        <f>IF(K178="","",ROUND(K178*5/1000,0))</f>
        <v/>
      </c>
      <c r="M178" s="1">
        <f>IF(F178="","",ROUND(F178*$B$247,0))</f>
        <v/>
      </c>
      <c r="N178">
        <f>IF(M178="","",ROUND(M178*$B$248,0))</f>
        <v/>
      </c>
      <c r="O178">
        <f>IF(N178="","",ROUND(N178*$B$249,0))</f>
        <v/>
      </c>
      <c r="P178" s="3">
        <f>IF(O178="","",ROUND(O178*7.30,0))</f>
        <v/>
      </c>
      <c r="Q178" s="3">
        <f>IF(L178="","",L178+P178)</f>
        <v/>
      </c>
    </row>
    <row r="179">
      <c r="A179" s="1" t="inlineStr">
        <is>
          <t>Tier 3</t>
        </is>
      </c>
      <c r="B179" s="1" t="inlineStr">
        <is>
          <t>ZW</t>
        </is>
      </c>
      <c r="E179" s="1">
        <f>IFERROR(ROUND(C179/D179,0),"")</f>
        <v/>
      </c>
      <c r="F179" s="1">
        <f>IF(D179="","",D179*$B$244)</f>
        <v/>
      </c>
      <c r="G179" s="1">
        <f>IF(F179="","",ROUND(F179*$B$246,0))</f>
        <v/>
      </c>
      <c r="H179" s="3">
        <f>IF(G179="","",ROUND(G179*10/1000,0))</f>
        <v/>
      </c>
      <c r="I179" s="3">
        <f>IF(G179="","",ROUND(G179*15/1000,0))</f>
        <v/>
      </c>
      <c r="J179" s="3">
        <f>IF(G179="","",ROUND(G179*20/1000,0))</f>
        <v/>
      </c>
      <c r="K179" s="1">
        <f>IF(F179="","",ROUND(F179*0.10,0))</f>
        <v/>
      </c>
      <c r="L179" s="3">
        <f>IF(K179="","",ROUND(K179*5/1000,0))</f>
        <v/>
      </c>
      <c r="M179" s="1">
        <f>IF(F179="","",ROUND(F179*$B$247,0))</f>
        <v/>
      </c>
      <c r="N179">
        <f>IF(M179="","",ROUND(M179*$B$248,0))</f>
        <v/>
      </c>
      <c r="O179">
        <f>IF(N179="","",ROUND(N179*$B$249,0))</f>
        <v/>
      </c>
      <c r="P179" s="3">
        <f>IF(O179="","",ROUND(O179*7.30,0))</f>
        <v/>
      </c>
      <c r="Q179" s="3">
        <f>IF(L179="","",L179+P179)</f>
        <v/>
      </c>
    </row>
    <row r="180">
      <c r="A180" s="1" t="inlineStr">
        <is>
          <t>Tier 3</t>
        </is>
      </c>
      <c r="B180" s="1" t="inlineStr">
        <is>
          <t>GN</t>
        </is>
      </c>
      <c r="E180" s="1">
        <f>IFERROR(ROUND(C180/D180,0),"")</f>
        <v/>
      </c>
      <c r="F180" s="1">
        <f>IF(D180="","",D180*$B$244)</f>
        <v/>
      </c>
      <c r="G180" s="1">
        <f>IF(F180="","",ROUND(F180*$B$246,0))</f>
        <v/>
      </c>
      <c r="H180" s="3">
        <f>IF(G180="","",ROUND(G180*10/1000,0))</f>
        <v/>
      </c>
      <c r="I180" s="3">
        <f>IF(G180="","",ROUND(G180*15/1000,0))</f>
        <v/>
      </c>
      <c r="J180" s="3">
        <f>IF(G180="","",ROUND(G180*20/1000,0))</f>
        <v/>
      </c>
      <c r="K180" s="1">
        <f>IF(F180="","",ROUND(F180*0.10,0))</f>
        <v/>
      </c>
      <c r="L180" s="3">
        <f>IF(K180="","",ROUND(K180*5/1000,0))</f>
        <v/>
      </c>
      <c r="M180" s="1">
        <f>IF(F180="","",ROUND(F180*$B$247,0))</f>
        <v/>
      </c>
      <c r="N180">
        <f>IF(M180="","",ROUND(M180*$B$248,0))</f>
        <v/>
      </c>
      <c r="O180">
        <f>IF(N180="","",ROUND(N180*$B$249,0))</f>
        <v/>
      </c>
      <c r="P180" s="3">
        <f>IF(O180="","",ROUND(O180*7.30,0))</f>
        <v/>
      </c>
      <c r="Q180" s="3">
        <f>IF(L180="","",L180+P180)</f>
        <v/>
      </c>
    </row>
    <row r="181">
      <c r="A181" s="1" t="inlineStr">
        <is>
          <t>Tier 3</t>
        </is>
      </c>
      <c r="B181" s="1" t="inlineStr">
        <is>
          <t>BL</t>
        </is>
      </c>
      <c r="E181" s="1">
        <f>IFERROR(ROUND(C181/D181,0),"")</f>
        <v/>
      </c>
      <c r="F181" s="1">
        <f>IF(D181="","",D181*$B$244)</f>
        <v/>
      </c>
      <c r="G181" s="1">
        <f>IF(F181="","",ROUND(F181*$B$246,0))</f>
        <v/>
      </c>
      <c r="H181" s="3">
        <f>IF(G181="","",ROUND(G181*10/1000,0))</f>
        <v/>
      </c>
      <c r="I181" s="3">
        <f>IF(G181="","",ROUND(G181*15/1000,0))</f>
        <v/>
      </c>
      <c r="J181" s="3">
        <f>IF(G181="","",ROUND(G181*20/1000,0))</f>
        <v/>
      </c>
      <c r="K181" s="1">
        <f>IF(F181="","",ROUND(F181*0.10,0))</f>
        <v/>
      </c>
      <c r="L181" s="3">
        <f>IF(K181="","",ROUND(K181*5/1000,0))</f>
        <v/>
      </c>
      <c r="M181" s="1">
        <f>IF(F181="","",ROUND(F181*$B$247,0))</f>
        <v/>
      </c>
      <c r="N181">
        <f>IF(M181="","",ROUND(M181*$B$248,0))</f>
        <v/>
      </c>
      <c r="O181">
        <f>IF(N181="","",ROUND(N181*$B$249,0))</f>
        <v/>
      </c>
      <c r="P181" s="3">
        <f>IF(O181="","",ROUND(O181*7.30,0))</f>
        <v/>
      </c>
      <c r="Q181" s="3">
        <f>IF(L181="","",L181+P181)</f>
        <v/>
      </c>
    </row>
    <row r="182">
      <c r="A182" s="1" t="inlineStr">
        <is>
          <t>Tier 3</t>
        </is>
      </c>
      <c r="B182" s="1" t="inlineStr">
        <is>
          <t>hr</t>
        </is>
      </c>
      <c r="E182" s="1">
        <f>IFERROR(ROUND(C182/D182,0),"")</f>
        <v/>
      </c>
      <c r="F182" s="1">
        <f>IF(D182="","",D182*$B$244)</f>
        <v/>
      </c>
      <c r="G182" s="1">
        <f>IF(F182="","",ROUND(F182*$B$246,0))</f>
        <v/>
      </c>
      <c r="H182" s="3">
        <f>IF(G182="","",ROUND(G182*10/1000,0))</f>
        <v/>
      </c>
      <c r="I182" s="3">
        <f>IF(G182="","",ROUND(G182*15/1000,0))</f>
        <v/>
      </c>
      <c r="J182" s="3">
        <f>IF(G182="","",ROUND(G182*20/1000,0))</f>
        <v/>
      </c>
      <c r="K182" s="1">
        <f>IF(F182="","",ROUND(F182*0.10,0))</f>
        <v/>
      </c>
      <c r="L182" s="3">
        <f>IF(K182="","",ROUND(K182*5/1000,0))</f>
        <v/>
      </c>
      <c r="M182" s="1">
        <f>IF(F182="","",ROUND(F182*$B$247,0))</f>
        <v/>
      </c>
      <c r="N182">
        <f>IF(M182="","",ROUND(M182*$B$248,0))</f>
        <v/>
      </c>
      <c r="O182">
        <f>IF(N182="","",ROUND(N182*$B$249,0))</f>
        <v/>
      </c>
      <c r="P182" s="3">
        <f>IF(O182="","",ROUND(O182*7.30,0))</f>
        <v/>
      </c>
      <c r="Q182" s="3">
        <f>IF(L182="","",L182+P182)</f>
        <v/>
      </c>
    </row>
    <row r="183">
      <c r="A183" s="1" t="inlineStr">
        <is>
          <t>Tier 3</t>
        </is>
      </c>
      <c r="B183" s="1" t="inlineStr">
        <is>
          <t>pt</t>
        </is>
      </c>
      <c r="E183" s="1">
        <f>IFERROR(ROUND(C183/D183,0),"")</f>
        <v/>
      </c>
      <c r="F183" s="1">
        <f>IF(D183="","",D183*$B$244)</f>
        <v/>
      </c>
      <c r="G183" s="1">
        <f>IF(F183="","",ROUND(F183*$B$246,0))</f>
        <v/>
      </c>
      <c r="H183" s="3">
        <f>IF(G183="","",ROUND(G183*10/1000,0))</f>
        <v/>
      </c>
      <c r="I183" s="3">
        <f>IF(G183="","",ROUND(G183*15/1000,0))</f>
        <v/>
      </c>
      <c r="J183" s="3">
        <f>IF(G183="","",ROUND(G183*20/1000,0))</f>
        <v/>
      </c>
      <c r="K183" s="1">
        <f>IF(F183="","",ROUND(F183*0.10,0))</f>
        <v/>
      </c>
      <c r="L183" s="3">
        <f>IF(K183="","",ROUND(K183*5/1000,0))</f>
        <v/>
      </c>
      <c r="M183" s="1">
        <f>IF(F183="","",ROUND(F183*$B$247,0))</f>
        <v/>
      </c>
      <c r="N183">
        <f>IF(M183="","",ROUND(M183*$B$248,0))</f>
        <v/>
      </c>
      <c r="O183">
        <f>IF(N183="","",ROUND(N183*$B$249,0))</f>
        <v/>
      </c>
      <c r="P183" s="3">
        <f>IF(O183="","",ROUND(O183*7.30,0))</f>
        <v/>
      </c>
      <c r="Q183" s="3">
        <f>IF(L183="","",L183+P183)</f>
        <v/>
      </c>
    </row>
    <row r="184">
      <c r="A184" s="1" t="inlineStr">
        <is>
          <t>Tier 3</t>
        </is>
      </c>
      <c r="B184" s="1" t="inlineStr">
        <is>
          <t>me</t>
        </is>
      </c>
      <c r="E184" s="1">
        <f>IFERROR(ROUND(C184/D184,0),"")</f>
        <v/>
      </c>
      <c r="F184" s="1">
        <f>IF(D184="","",D184*$B$244)</f>
        <v/>
      </c>
      <c r="G184" s="1">
        <f>IF(F184="","",ROUND(F184*$B$246,0))</f>
        <v/>
      </c>
      <c r="H184" s="3">
        <f>IF(G184="","",ROUND(G184*10/1000,0))</f>
        <v/>
      </c>
      <c r="I184" s="3">
        <f>IF(G184="","",ROUND(G184*15/1000,0))</f>
        <v/>
      </c>
      <c r="J184" s="3">
        <f>IF(G184="","",ROUND(G184*20/1000,0))</f>
        <v/>
      </c>
      <c r="K184" s="1">
        <f>IF(F184="","",ROUND(F184*0.10,0))</f>
        <v/>
      </c>
      <c r="L184" s="3">
        <f>IF(K184="","",ROUND(K184*5/1000,0))</f>
        <v/>
      </c>
      <c r="M184" s="1">
        <f>IF(F184="","",ROUND(F184*$B$247,0))</f>
        <v/>
      </c>
      <c r="N184">
        <f>IF(M184="","",ROUND(M184*$B$248,0))</f>
        <v/>
      </c>
      <c r="O184">
        <f>IF(N184="","",ROUND(N184*$B$249,0))</f>
        <v/>
      </c>
      <c r="P184" s="3">
        <f>IF(O184="","",ROUND(O184*7.30,0))</f>
        <v/>
      </c>
      <c r="Q184" s="3">
        <f>IF(L184="","",L184+P184)</f>
        <v/>
      </c>
    </row>
    <row r="185">
      <c r="A185" s="1" t="inlineStr">
        <is>
          <t>Tier 3</t>
        </is>
      </c>
      <c r="B185" s="1" t="inlineStr">
        <is>
          <t>mk</t>
        </is>
      </c>
      <c r="E185" s="1">
        <f>IFERROR(ROUND(C185/D185,0),"")</f>
        <v/>
      </c>
      <c r="F185" s="1">
        <f>IF(D185="","",D185*$B$244)</f>
        <v/>
      </c>
      <c r="G185" s="1">
        <f>IF(F185="","",ROUND(F185*$B$246,0))</f>
        <v/>
      </c>
      <c r="H185" s="3">
        <f>IF(G185="","",ROUND(G185*10/1000,0))</f>
        <v/>
      </c>
      <c r="I185" s="3">
        <f>IF(G185="","",ROUND(G185*15/1000,0))</f>
        <v/>
      </c>
      <c r="J185" s="3">
        <f>IF(G185="","",ROUND(G185*20/1000,0))</f>
        <v/>
      </c>
      <c r="K185" s="1">
        <f>IF(F185="","",ROUND(F185*0.10,0))</f>
        <v/>
      </c>
      <c r="L185" s="3">
        <f>IF(K185="","",ROUND(K185*5/1000,0))</f>
        <v/>
      </c>
      <c r="M185" s="1">
        <f>IF(F185="","",ROUND(F185*$B$247,0))</f>
        <v/>
      </c>
      <c r="N185">
        <f>IF(M185="","",ROUND(M185*$B$248,0))</f>
        <v/>
      </c>
      <c r="O185">
        <f>IF(N185="","",ROUND(N185*$B$249,0))</f>
        <v/>
      </c>
      <c r="P185" s="3">
        <f>IF(O185="","",ROUND(O185*7.30,0))</f>
        <v/>
      </c>
      <c r="Q185" s="3">
        <f>IF(L185="","",L185+P185)</f>
        <v/>
      </c>
    </row>
    <row r="186">
      <c r="A186" s="1" t="inlineStr">
        <is>
          <t>Tier 3</t>
        </is>
      </c>
      <c r="B186" s="1" t="inlineStr">
        <is>
          <t>be</t>
        </is>
      </c>
      <c r="E186" s="1">
        <f>IFERROR(ROUND(C186/D186,0),"")</f>
        <v/>
      </c>
      <c r="F186" s="1">
        <f>IF(D186="","",D186*$B$244)</f>
        <v/>
      </c>
      <c r="G186" s="1">
        <f>IF(F186="","",ROUND(F186*$B$246,0))</f>
        <v/>
      </c>
      <c r="H186" s="3">
        <f>IF(G186="","",ROUND(G186*10/1000,0))</f>
        <v/>
      </c>
      <c r="I186" s="3">
        <f>IF(G186="","",ROUND(G186*15/1000,0))</f>
        <v/>
      </c>
      <c r="J186" s="3">
        <f>IF(G186="","",ROUND(G186*20/1000,0))</f>
        <v/>
      </c>
      <c r="K186" s="1">
        <f>IF(F186="","",ROUND(F186*0.10,0))</f>
        <v/>
      </c>
      <c r="L186" s="3">
        <f>IF(K186="","",ROUND(K186*5/1000,0))</f>
        <v/>
      </c>
      <c r="M186" s="1">
        <f>IF(F186="","",ROUND(F186*$B$247,0))</f>
        <v/>
      </c>
      <c r="N186">
        <f>IF(M186="","",ROUND(M186*$B$248,0))</f>
        <v/>
      </c>
      <c r="O186">
        <f>IF(N186="","",ROUND(N186*$B$249,0))</f>
        <v/>
      </c>
      <c r="P186" s="3">
        <f>IF(O186="","",ROUND(O186*7.30,0))</f>
        <v/>
      </c>
      <c r="Q186" s="3">
        <f>IF(L186="","",L186+P186)</f>
        <v/>
      </c>
    </row>
    <row r="187">
      <c r="A187" s="1" t="inlineStr">
        <is>
          <t>Tier 3</t>
        </is>
      </c>
      <c r="B187" s="1" t="inlineStr">
        <is>
          <t>TL</t>
        </is>
      </c>
      <c r="E187" s="1">
        <f>IFERROR(ROUND(C187/D187,0),"")</f>
        <v/>
      </c>
      <c r="F187" s="1">
        <f>IF(D187="","",D187*$B$244)</f>
        <v/>
      </c>
      <c r="G187" s="1">
        <f>IF(F187="","",ROUND(F187*$B$246,0))</f>
        <v/>
      </c>
      <c r="H187" s="3">
        <f>IF(G187="","",ROUND(G187*10/1000,0))</f>
        <v/>
      </c>
      <c r="I187" s="3">
        <f>IF(G187="","",ROUND(G187*15/1000,0))</f>
        <v/>
      </c>
      <c r="J187" s="3">
        <f>IF(G187="","",ROUND(G187*20/1000,0))</f>
        <v/>
      </c>
      <c r="K187" s="1">
        <f>IF(F187="","",ROUND(F187*0.10,0))</f>
        <v/>
      </c>
      <c r="L187" s="3">
        <f>IF(K187="","",ROUND(K187*5/1000,0))</f>
        <v/>
      </c>
      <c r="M187" s="1">
        <f>IF(F187="","",ROUND(F187*$B$247,0))</f>
        <v/>
      </c>
      <c r="N187">
        <f>IF(M187="","",ROUND(M187*$B$248,0))</f>
        <v/>
      </c>
      <c r="O187">
        <f>IF(N187="","",ROUND(N187*$B$249,0))</f>
        <v/>
      </c>
      <c r="P187" s="3">
        <f>IF(O187="","",ROUND(O187*7.30,0))</f>
        <v/>
      </c>
      <c r="Q187" s="3">
        <f>IF(L187="","",L187+P187)</f>
        <v/>
      </c>
    </row>
    <row r="188">
      <c r="A188" s="1" t="inlineStr">
        <is>
          <t>Tier 3</t>
        </is>
      </c>
      <c r="B188" s="1" t="inlineStr">
        <is>
          <t>YE</t>
        </is>
      </c>
      <c r="E188" s="1">
        <f>IFERROR(ROUND(C188/D188,0),"")</f>
        <v/>
      </c>
      <c r="F188" s="1">
        <f>IF(D188="","",D188*$B$244)</f>
        <v/>
      </c>
      <c r="G188" s="1">
        <f>IF(F188="","",ROUND(F188*$B$246,0))</f>
        <v/>
      </c>
      <c r="H188" s="3">
        <f>IF(G188="","",ROUND(G188*10/1000,0))</f>
        <v/>
      </c>
      <c r="I188" s="3">
        <f>IF(G188="","",ROUND(G188*15/1000,0))</f>
        <v/>
      </c>
      <c r="J188" s="3">
        <f>IF(G188="","",ROUND(G188*20/1000,0))</f>
        <v/>
      </c>
      <c r="K188" s="1">
        <f>IF(F188="","",ROUND(F188*0.10,0))</f>
        <v/>
      </c>
      <c r="L188" s="3">
        <f>IF(K188="","",ROUND(K188*5/1000,0))</f>
        <v/>
      </c>
      <c r="M188" s="1">
        <f>IF(F188="","",ROUND(F188*$B$247,0))</f>
        <v/>
      </c>
      <c r="N188">
        <f>IF(M188="","",ROUND(M188*$B$248,0))</f>
        <v/>
      </c>
      <c r="O188">
        <f>IF(N188="","",ROUND(N188*$B$249,0))</f>
        <v/>
      </c>
      <c r="P188" s="3">
        <f>IF(O188="","",ROUND(O188*7.30,0))</f>
        <v/>
      </c>
      <c r="Q188" s="3">
        <f>IF(L188="","",L188+P188)</f>
        <v/>
      </c>
    </row>
    <row r="189">
      <c r="A189" s="1" t="inlineStr">
        <is>
          <t>Tier 3</t>
        </is>
      </c>
      <c r="B189" s="1" t="inlineStr">
        <is>
          <t>KY</t>
        </is>
      </c>
      <c r="E189" s="1">
        <f>IFERROR(ROUND(C189/D189,0),"")</f>
        <v/>
      </c>
      <c r="F189" s="1">
        <f>IF(D189="","",D189*$B$244)</f>
        <v/>
      </c>
      <c r="G189" s="1">
        <f>IF(F189="","",ROUND(F189*$B$246,0))</f>
        <v/>
      </c>
      <c r="H189" s="3">
        <f>IF(G189="","",ROUND(G189*10/1000,0))</f>
        <v/>
      </c>
      <c r="I189" s="3">
        <f>IF(G189="","",ROUND(G189*15/1000,0))</f>
        <v/>
      </c>
      <c r="J189" s="3">
        <f>IF(G189="","",ROUND(G189*20/1000,0))</f>
        <v/>
      </c>
      <c r="K189" s="1">
        <f>IF(F189="","",ROUND(F189*0.10,0))</f>
        <v/>
      </c>
      <c r="L189" s="3">
        <f>IF(K189="","",ROUND(K189*5/1000,0))</f>
        <v/>
      </c>
      <c r="M189" s="1">
        <f>IF(F189="","",ROUND(F189*$B$247,0))</f>
        <v/>
      </c>
      <c r="N189">
        <f>IF(M189="","",ROUND(M189*$B$248,0))</f>
        <v/>
      </c>
      <c r="O189">
        <f>IF(N189="","",ROUND(N189*$B$249,0))</f>
        <v/>
      </c>
      <c r="P189" s="3">
        <f>IF(O189="","",ROUND(O189*7.30,0))</f>
        <v/>
      </c>
      <c r="Q189" s="3">
        <f>IF(L189="","",L189+P189)</f>
        <v/>
      </c>
    </row>
    <row r="190">
      <c r="A190" s="1" t="inlineStr">
        <is>
          <t>Tier 3</t>
        </is>
      </c>
      <c r="B190" s="1" t="inlineStr">
        <is>
          <t>CM</t>
        </is>
      </c>
      <c r="E190" s="1">
        <f>IFERROR(ROUND(C190/D190,0),"")</f>
        <v/>
      </c>
      <c r="F190" s="1">
        <f>IF(D190="","",D190*$B$244)</f>
        <v/>
      </c>
      <c r="G190" s="1">
        <f>IF(F190="","",ROUND(F190*$B$246,0))</f>
        <v/>
      </c>
      <c r="H190" s="3">
        <f>IF(G190="","",ROUND(G190*10/1000,0))</f>
        <v/>
      </c>
      <c r="I190" s="3">
        <f>IF(G190="","",ROUND(G190*15/1000,0))</f>
        <v/>
      </c>
      <c r="J190" s="3">
        <f>IF(G190="","",ROUND(G190*20/1000,0))</f>
        <v/>
      </c>
      <c r="K190" s="1">
        <f>IF(F190="","",ROUND(F190*0.10,0))</f>
        <v/>
      </c>
      <c r="L190" s="3">
        <f>IF(K190="","",ROUND(K190*5/1000,0))</f>
        <v/>
      </c>
      <c r="M190" s="1">
        <f>IF(F190="","",ROUND(F190*$B$247,0))</f>
        <v/>
      </c>
      <c r="N190">
        <f>IF(M190="","",ROUND(M190*$B$248,0))</f>
        <v/>
      </c>
      <c r="O190">
        <f>IF(N190="","",ROUND(N190*$B$249,0))</f>
        <v/>
      </c>
      <c r="P190" s="3">
        <f>IF(O190="","",ROUND(O190*7.30,0))</f>
        <v/>
      </c>
      <c r="Q190" s="3">
        <f>IF(L190="","",L190+P190)</f>
        <v/>
      </c>
    </row>
    <row r="191">
      <c r="A191" s="1" t="inlineStr">
        <is>
          <t>Tier 3</t>
        </is>
      </c>
      <c r="B191" s="1" t="inlineStr">
        <is>
          <t>rs</t>
        </is>
      </c>
      <c r="E191" s="1">
        <f>IFERROR(ROUND(C191/D191,0),"")</f>
        <v/>
      </c>
      <c r="F191" s="1">
        <f>IF(D191="","",D191*$B$244)</f>
        <v/>
      </c>
      <c r="G191" s="1">
        <f>IF(F191="","",ROUND(F191*$B$246,0))</f>
        <v/>
      </c>
      <c r="H191" s="3">
        <f>IF(G191="","",ROUND(G191*10/1000,0))</f>
        <v/>
      </c>
      <c r="I191" s="3">
        <f>IF(G191="","",ROUND(G191*15/1000,0))</f>
        <v/>
      </c>
      <c r="J191" s="3">
        <f>IF(G191="","",ROUND(G191*20/1000,0))</f>
        <v/>
      </c>
      <c r="K191" s="1">
        <f>IF(F191="","",ROUND(F191*0.10,0))</f>
        <v/>
      </c>
      <c r="L191" s="3">
        <f>IF(K191="","",ROUND(K191*5/1000,0))</f>
        <v/>
      </c>
      <c r="M191" s="1">
        <f>IF(F191="","",ROUND(F191*$B$247,0))</f>
        <v/>
      </c>
      <c r="N191">
        <f>IF(M191="","",ROUND(M191*$B$248,0))</f>
        <v/>
      </c>
      <c r="O191">
        <f>IF(N191="","",ROUND(N191*$B$249,0))</f>
        <v/>
      </c>
      <c r="P191" s="3">
        <f>IF(O191="","",ROUND(O191*7.30,0))</f>
        <v/>
      </c>
      <c r="Q191" s="3">
        <f>IF(L191="","",L191+P191)</f>
        <v/>
      </c>
    </row>
    <row r="192">
      <c r="A192" s="1" t="inlineStr">
        <is>
          <t>Tier 3</t>
        </is>
      </c>
      <c r="B192" s="1" t="inlineStr">
        <is>
          <t>SM</t>
        </is>
      </c>
      <c r="E192" s="1">
        <f>IFERROR(ROUND(C192/D192,0),"")</f>
        <v/>
      </c>
      <c r="F192" s="1">
        <f>IF(D192="","",D192*$B$244)</f>
        <v/>
      </c>
      <c r="G192" s="1">
        <f>IF(F192="","",ROUND(F192*$B$246,0))</f>
        <v/>
      </c>
      <c r="H192" s="3">
        <f>IF(G192="","",ROUND(G192*10/1000,0))</f>
        <v/>
      </c>
      <c r="I192" s="3">
        <f>IF(G192="","",ROUND(G192*15/1000,0))</f>
        <v/>
      </c>
      <c r="J192" s="3">
        <f>IF(G192="","",ROUND(G192*20/1000,0))</f>
        <v/>
      </c>
      <c r="K192" s="1">
        <f>IF(F192="","",ROUND(F192*0.10,0))</f>
        <v/>
      </c>
      <c r="L192" s="3">
        <f>IF(K192="","",ROUND(K192*5/1000,0))</f>
        <v/>
      </c>
      <c r="M192" s="1">
        <f>IF(F192="","",ROUND(F192*$B$247,0))</f>
        <v/>
      </c>
      <c r="N192">
        <f>IF(M192="","",ROUND(M192*$B$248,0))</f>
        <v/>
      </c>
      <c r="O192">
        <f>IF(N192="","",ROUND(N192*$B$249,0))</f>
        <v/>
      </c>
      <c r="P192" s="3">
        <f>IF(O192="","",ROUND(O192*7.30,0))</f>
        <v/>
      </c>
      <c r="Q192" s="3">
        <f>IF(L192="","",L192+P192)</f>
        <v/>
      </c>
    </row>
    <row r="193">
      <c r="A193" s="1" t="inlineStr">
        <is>
          <t>Tier 3</t>
        </is>
      </c>
      <c r="B193" s="1" t="inlineStr">
        <is>
          <t>no</t>
        </is>
      </c>
      <c r="E193" s="1">
        <f>IFERROR(ROUND(C193/D193,0),"")</f>
        <v/>
      </c>
      <c r="F193" s="1">
        <f>IF(D193="","",D193*$B$244)</f>
        <v/>
      </c>
      <c r="G193" s="1">
        <f>IF(F193="","",ROUND(F193*$B$246,0))</f>
        <v/>
      </c>
      <c r="H193" s="3">
        <f>IF(G193="","",ROUND(G193*10/1000,0))</f>
        <v/>
      </c>
      <c r="I193" s="3">
        <f>IF(G193="","",ROUND(G193*15/1000,0))</f>
        <v/>
      </c>
      <c r="J193" s="3">
        <f>IF(G193="","",ROUND(G193*20/1000,0))</f>
        <v/>
      </c>
      <c r="K193" s="1">
        <f>IF(F193="","",ROUND(F193*0.10,0))</f>
        <v/>
      </c>
      <c r="L193" s="3">
        <f>IF(K193="","",ROUND(K193*5/1000,0))</f>
        <v/>
      </c>
      <c r="M193" s="1">
        <f>IF(F193="","",ROUND(F193*$B$247,0))</f>
        <v/>
      </c>
      <c r="N193">
        <f>IF(M193="","",ROUND(M193*$B$248,0))</f>
        <v/>
      </c>
      <c r="O193">
        <f>IF(N193="","",ROUND(N193*$B$249,0))</f>
        <v/>
      </c>
      <c r="P193" s="3">
        <f>IF(O193="","",ROUND(O193*7.30,0))</f>
        <v/>
      </c>
      <c r="Q193" s="3">
        <f>IF(L193="","",L193+P193)</f>
        <v/>
      </c>
    </row>
    <row r="194">
      <c r="A194" s="1" t="inlineStr">
        <is>
          <t>Tier 3</t>
        </is>
      </c>
      <c r="B194" s="1" t="inlineStr">
        <is>
          <t>hu</t>
        </is>
      </c>
      <c r="E194" s="1">
        <f>IFERROR(ROUND(C194/D194,0),"")</f>
        <v/>
      </c>
      <c r="F194" s="1">
        <f>IF(D194="","",D194*$B$244)</f>
        <v/>
      </c>
      <c r="G194" s="1">
        <f>IF(F194="","",ROUND(F194*$B$246,0))</f>
        <v/>
      </c>
      <c r="H194" s="3">
        <f>IF(G194="","",ROUND(G194*10/1000,0))</f>
        <v/>
      </c>
      <c r="I194" s="3">
        <f>IF(G194="","",ROUND(G194*15/1000,0))</f>
        <v/>
      </c>
      <c r="J194" s="3">
        <f>IF(G194="","",ROUND(G194*20/1000,0))</f>
        <v/>
      </c>
      <c r="K194" s="1">
        <f>IF(F194="","",ROUND(F194*0.10,0))</f>
        <v/>
      </c>
      <c r="L194" s="3">
        <f>IF(K194="","",ROUND(K194*5/1000,0))</f>
        <v/>
      </c>
      <c r="M194" s="1">
        <f>IF(F194="","",ROUND(F194*$B$247,0))</f>
        <v/>
      </c>
      <c r="N194">
        <f>IF(M194="","",ROUND(M194*$B$248,0))</f>
        <v/>
      </c>
      <c r="O194">
        <f>IF(N194="","",ROUND(N194*$B$249,0))</f>
        <v/>
      </c>
      <c r="P194" s="3">
        <f>IF(O194="","",ROUND(O194*7.30,0))</f>
        <v/>
      </c>
      <c r="Q194" s="3">
        <f>IF(L194="","",L194+P194)</f>
        <v/>
      </c>
    </row>
    <row r="195">
      <c r="A195" s="1" t="inlineStr">
        <is>
          <t>Tier 3</t>
        </is>
      </c>
      <c r="B195" s="1" t="inlineStr">
        <is>
          <t>RW</t>
        </is>
      </c>
      <c r="E195" s="1">
        <f>IFERROR(ROUND(C195/D195,0),"")</f>
        <v/>
      </c>
      <c r="F195" s="1">
        <f>IF(D195="","",D195*$B$244)</f>
        <v/>
      </c>
      <c r="G195" s="1">
        <f>IF(F195="","",ROUND(F195*$B$246,0))</f>
        <v/>
      </c>
      <c r="H195" s="3">
        <f>IF(G195="","",ROUND(G195*10/1000,0))</f>
        <v/>
      </c>
      <c r="I195" s="3">
        <f>IF(G195="","",ROUND(G195*15/1000,0))</f>
        <v/>
      </c>
      <c r="J195" s="3">
        <f>IF(G195="","",ROUND(G195*20/1000,0))</f>
        <v/>
      </c>
      <c r="K195" s="1">
        <f>IF(F195="","",ROUND(F195*0.10,0))</f>
        <v/>
      </c>
      <c r="L195" s="3">
        <f>IF(K195="","",ROUND(K195*5/1000,0))</f>
        <v/>
      </c>
      <c r="M195" s="1">
        <f>IF(F195="","",ROUND(F195*$B$247,0))</f>
        <v/>
      </c>
      <c r="N195">
        <f>IF(M195="","",ROUND(M195*$B$248,0))</f>
        <v/>
      </c>
      <c r="O195">
        <f>IF(N195="","",ROUND(N195*$B$249,0))</f>
        <v/>
      </c>
      <c r="P195" s="3">
        <f>IF(O195="","",ROUND(O195*7.30,0))</f>
        <v/>
      </c>
      <c r="Q195" s="3">
        <f>IF(L195="","",L195+P195)</f>
        <v/>
      </c>
    </row>
    <row r="196">
      <c r="A196" s="1" t="inlineStr">
        <is>
          <t>Tier 3</t>
        </is>
      </c>
      <c r="B196" s="1" t="inlineStr">
        <is>
          <t>VU</t>
        </is>
      </c>
      <c r="E196" s="1">
        <f>IFERROR(ROUND(C196/D196,0),"")</f>
        <v/>
      </c>
      <c r="F196" s="1">
        <f>IF(D196="","",D196*$B$244)</f>
        <v/>
      </c>
      <c r="G196" s="1">
        <f>IF(F196="","",ROUND(F196*$B$246,0))</f>
        <v/>
      </c>
      <c r="H196" s="3">
        <f>IF(G196="","",ROUND(G196*10/1000,0))</f>
        <v/>
      </c>
      <c r="I196" s="3">
        <f>IF(G196="","",ROUND(G196*15/1000,0))</f>
        <v/>
      </c>
      <c r="J196" s="3">
        <f>IF(G196="","",ROUND(G196*20/1000,0))</f>
        <v/>
      </c>
      <c r="K196" s="1">
        <f>IF(F196="","",ROUND(F196*0.10,0))</f>
        <v/>
      </c>
      <c r="L196" s="3">
        <f>IF(K196="","",ROUND(K196*5/1000,0))</f>
        <v/>
      </c>
      <c r="M196" s="1">
        <f>IF(F196="","",ROUND(F196*$B$247,0))</f>
        <v/>
      </c>
      <c r="N196">
        <f>IF(M196="","",ROUND(M196*$B$248,0))</f>
        <v/>
      </c>
      <c r="O196">
        <f>IF(N196="","",ROUND(N196*$B$249,0))</f>
        <v/>
      </c>
      <c r="P196" s="3">
        <f>IF(O196="","",ROUND(O196*7.30,0))</f>
        <v/>
      </c>
      <c r="Q196" s="3">
        <f>IF(L196="","",L196+P196)</f>
        <v/>
      </c>
    </row>
    <row r="197">
      <c r="A197" s="1" t="inlineStr">
        <is>
          <t>Tier 3</t>
        </is>
      </c>
      <c r="B197" s="1" t="inlineStr">
        <is>
          <t>MZ</t>
        </is>
      </c>
      <c r="E197" s="1">
        <f>IFERROR(ROUND(C197/D197,0),"")</f>
        <v/>
      </c>
      <c r="F197" s="1">
        <f>IF(D197="","",D197*$B$244)</f>
        <v/>
      </c>
      <c r="G197" s="1">
        <f>IF(F197="","",ROUND(F197*$B$246,0))</f>
        <v/>
      </c>
      <c r="H197" s="3">
        <f>IF(G197="","",ROUND(G197*10/1000,0))</f>
        <v/>
      </c>
      <c r="I197" s="3">
        <f>IF(G197="","",ROUND(G197*15/1000,0))</f>
        <v/>
      </c>
      <c r="J197" s="3">
        <f>IF(G197="","",ROUND(G197*20/1000,0))</f>
        <v/>
      </c>
      <c r="K197" s="1">
        <f>IF(F197="","",ROUND(F197*0.10,0))</f>
        <v/>
      </c>
      <c r="L197" s="3">
        <f>IF(K197="","",ROUND(K197*5/1000,0))</f>
        <v/>
      </c>
      <c r="M197" s="1">
        <f>IF(F197="","",ROUND(F197*$B$247,0))</f>
        <v/>
      </c>
      <c r="N197">
        <f>IF(M197="","",ROUND(M197*$B$248,0))</f>
        <v/>
      </c>
      <c r="O197">
        <f>IF(N197="","",ROUND(N197*$B$249,0))</f>
        <v/>
      </c>
      <c r="P197" s="3">
        <f>IF(O197="","",ROUND(O197*7.30,0))</f>
        <v/>
      </c>
      <c r="Q197" s="3">
        <f>IF(L197="","",L197+P197)</f>
        <v/>
      </c>
    </row>
    <row r="198">
      <c r="A198" s="1" t="inlineStr">
        <is>
          <t>Tier 3</t>
        </is>
      </c>
      <c r="B198" s="1" t="inlineStr">
        <is>
          <t>by</t>
        </is>
      </c>
      <c r="E198" s="1">
        <f>IFERROR(ROUND(C198/D198,0),"")</f>
        <v/>
      </c>
      <c r="F198" s="1">
        <f>IF(D198="","",D198*$B$244)</f>
        <v/>
      </c>
      <c r="G198" s="1">
        <f>IF(F198="","",ROUND(F198*$B$246,0))</f>
        <v/>
      </c>
      <c r="H198" s="3">
        <f>IF(G198="","",ROUND(G198*10/1000,0))</f>
        <v/>
      </c>
      <c r="I198" s="3">
        <f>IF(G198="","",ROUND(G198*15/1000,0))</f>
        <v/>
      </c>
      <c r="J198" s="3">
        <f>IF(G198="","",ROUND(G198*20/1000,0))</f>
        <v/>
      </c>
      <c r="K198" s="1">
        <f>IF(F198="","",ROUND(F198*0.10,0))</f>
        <v/>
      </c>
      <c r="L198" s="3">
        <f>IF(K198="","",ROUND(K198*5/1000,0))</f>
        <v/>
      </c>
      <c r="M198" s="1">
        <f>IF(F198="","",ROUND(F198*$B$247,0))</f>
        <v/>
      </c>
      <c r="N198">
        <f>IF(M198="","",ROUND(M198*$B$248,0))</f>
        <v/>
      </c>
      <c r="O198">
        <f>IF(N198="","",ROUND(N198*$B$249,0))</f>
        <v/>
      </c>
      <c r="P198" s="3">
        <f>IF(O198="","",ROUND(O198*7.30,0))</f>
        <v/>
      </c>
      <c r="Q198" s="3">
        <f>IF(L198="","",L198+P198)</f>
        <v/>
      </c>
    </row>
    <row r="199">
      <c r="A199" s="1" t="inlineStr">
        <is>
          <t>Tier 3</t>
        </is>
      </c>
      <c r="B199" s="1" t="inlineStr">
        <is>
          <t>DM</t>
        </is>
      </c>
      <c r="E199" s="1">
        <f>IFERROR(ROUND(C199/D199,0),"")</f>
        <v/>
      </c>
      <c r="F199" s="1">
        <f>IF(D199="","",D199*$B$244)</f>
        <v/>
      </c>
      <c r="G199" s="1">
        <f>IF(F199="","",ROUND(F199*$B$246,0))</f>
        <v/>
      </c>
      <c r="H199" s="3">
        <f>IF(G199="","",ROUND(G199*10/1000,0))</f>
        <v/>
      </c>
      <c r="I199" s="3">
        <f>IF(G199="","",ROUND(G199*15/1000,0))</f>
        <v/>
      </c>
      <c r="J199" s="3">
        <f>IF(G199="","",ROUND(G199*20/1000,0))</f>
        <v/>
      </c>
      <c r="K199" s="1">
        <f>IF(F199="","",ROUND(F199*0.10,0))</f>
        <v/>
      </c>
      <c r="L199" s="3">
        <f>IF(K199="","",ROUND(K199*5/1000,0))</f>
        <v/>
      </c>
      <c r="M199" s="1">
        <f>IF(F199="","",ROUND(F199*$B$247,0))</f>
        <v/>
      </c>
      <c r="N199">
        <f>IF(M199="","",ROUND(M199*$B$248,0))</f>
        <v/>
      </c>
      <c r="O199">
        <f>IF(N199="","",ROUND(N199*$B$249,0))</f>
        <v/>
      </c>
      <c r="P199" s="3">
        <f>IF(O199="","",ROUND(O199*7.30,0))</f>
        <v/>
      </c>
      <c r="Q199" s="3">
        <f>IF(L199="","",L199+P199)</f>
        <v/>
      </c>
    </row>
    <row r="200">
      <c r="A200" s="1" t="inlineStr">
        <is>
          <t>Tier 3</t>
        </is>
      </c>
      <c r="B200" s="1" t="inlineStr">
        <is>
          <t>ET</t>
        </is>
      </c>
      <c r="E200" s="1">
        <f>IFERROR(ROUND(C200/D200,0),"")</f>
        <v/>
      </c>
      <c r="F200" s="1">
        <f>IF(D200="","",D200*$B$244)</f>
        <v/>
      </c>
      <c r="G200" s="1">
        <f>IF(F200="","",ROUND(F200*$B$246,0))</f>
        <v/>
      </c>
      <c r="H200" s="3">
        <f>IF(G200="","",ROUND(G200*10/1000,0))</f>
        <v/>
      </c>
      <c r="I200" s="3">
        <f>IF(G200="","",ROUND(G200*15/1000,0))</f>
        <v/>
      </c>
      <c r="J200" s="3">
        <f>IF(G200="","",ROUND(G200*20/1000,0))</f>
        <v/>
      </c>
      <c r="K200" s="1">
        <f>IF(F200="","",ROUND(F200*0.10,0))</f>
        <v/>
      </c>
      <c r="L200" s="3">
        <f>IF(K200="","",ROUND(K200*5/1000,0))</f>
        <v/>
      </c>
      <c r="M200" s="1">
        <f>IF(F200="","",ROUND(F200*$B$247,0))</f>
        <v/>
      </c>
      <c r="N200">
        <f>IF(M200="","",ROUND(M200*$B$248,0))</f>
        <v/>
      </c>
      <c r="O200">
        <f>IF(N200="","",ROUND(N200*$B$249,0))</f>
        <v/>
      </c>
      <c r="P200" s="3">
        <f>IF(O200="","",ROUND(O200*7.30,0))</f>
        <v/>
      </c>
      <c r="Q200" s="3">
        <f>IF(L200="","",L200+P200)</f>
        <v/>
      </c>
    </row>
    <row r="201">
      <c r="A201" s="1" t="inlineStr">
        <is>
          <t>Tier 3</t>
        </is>
      </c>
      <c r="B201" s="1" t="inlineStr">
        <is>
          <t>NE</t>
        </is>
      </c>
      <c r="E201" s="1">
        <f>IFERROR(ROUND(C201/D201,0),"")</f>
        <v/>
      </c>
      <c r="F201" s="1">
        <f>IF(D201="","",D201*$B$244)</f>
        <v/>
      </c>
      <c r="G201" s="1">
        <f>IF(F201="","",ROUND(F201*$B$246,0))</f>
        <v/>
      </c>
      <c r="H201" s="3">
        <f>IF(G201="","",ROUND(G201*10/1000,0))</f>
        <v/>
      </c>
      <c r="I201" s="3">
        <f>IF(G201="","",ROUND(G201*15/1000,0))</f>
        <v/>
      </c>
      <c r="J201" s="3">
        <f>IF(G201="","",ROUND(G201*20/1000,0))</f>
        <v/>
      </c>
      <c r="K201" s="1">
        <f>IF(F201="","",ROUND(F201*0.10,0))</f>
        <v/>
      </c>
      <c r="L201" s="3">
        <f>IF(K201="","",ROUND(K201*5/1000,0))</f>
        <v/>
      </c>
      <c r="M201" s="1">
        <f>IF(F201="","",ROUND(F201*$B$247,0))</f>
        <v/>
      </c>
      <c r="N201">
        <f>IF(M201="","",ROUND(M201*$B$248,0))</f>
        <v/>
      </c>
      <c r="O201">
        <f>IF(N201="","",ROUND(N201*$B$249,0))</f>
        <v/>
      </c>
      <c r="P201" s="3">
        <f>IF(O201="","",ROUND(O201*7.30,0))</f>
        <v/>
      </c>
      <c r="Q201" s="3">
        <f>IF(L201="","",L201+P201)</f>
        <v/>
      </c>
    </row>
    <row r="202">
      <c r="A202" s="1" t="inlineStr">
        <is>
          <t>Tier 3</t>
        </is>
      </c>
      <c r="B202" s="1" t="inlineStr">
        <is>
          <t>PG</t>
        </is>
      </c>
      <c r="E202" s="1">
        <f>IFERROR(ROUND(C202/D202,0),"")</f>
        <v/>
      </c>
      <c r="F202" s="1">
        <f>IF(D202="","",D202*$B$244)</f>
        <v/>
      </c>
      <c r="G202" s="1">
        <f>IF(F202="","",ROUND(F202*$B$246,0))</f>
        <v/>
      </c>
      <c r="H202" s="3">
        <f>IF(G202="","",ROUND(G202*10/1000,0))</f>
        <v/>
      </c>
      <c r="I202" s="3">
        <f>IF(G202="","",ROUND(G202*15/1000,0))</f>
        <v/>
      </c>
      <c r="J202" s="3">
        <f>IF(G202="","",ROUND(G202*20/1000,0))</f>
        <v/>
      </c>
      <c r="K202" s="1">
        <f>IF(F202="","",ROUND(F202*0.10,0))</f>
        <v/>
      </c>
      <c r="L202" s="3">
        <f>IF(K202="","",ROUND(K202*5/1000,0))</f>
        <v/>
      </c>
      <c r="M202" s="1">
        <f>IF(F202="","",ROUND(F202*$B$247,0))</f>
        <v/>
      </c>
      <c r="N202">
        <f>IF(M202="","",ROUND(M202*$B$248,0))</f>
        <v/>
      </c>
      <c r="O202">
        <f>IF(N202="","",ROUND(N202*$B$249,0))</f>
        <v/>
      </c>
      <c r="P202" s="3">
        <f>IF(O202="","",ROUND(O202*7.30,0))</f>
        <v/>
      </c>
      <c r="Q202" s="3">
        <f>IF(L202="","",L202+P202)</f>
        <v/>
      </c>
    </row>
    <row r="203">
      <c r="A203" s="1" t="inlineStr">
        <is>
          <t>Tier 3</t>
        </is>
      </c>
      <c r="B203" s="1" t="inlineStr">
        <is>
          <t>BT</t>
        </is>
      </c>
      <c r="E203" s="1">
        <f>IFERROR(ROUND(C203/D203,0),"")</f>
        <v/>
      </c>
      <c r="F203" s="1">
        <f>IF(D203="","",D203*$B$244)</f>
        <v/>
      </c>
      <c r="G203" s="1">
        <f>IF(F203="","",ROUND(F203*$B$246,0))</f>
        <v/>
      </c>
      <c r="H203" s="3">
        <f>IF(G203="","",ROUND(G203*10/1000,0))</f>
        <v/>
      </c>
      <c r="I203" s="3">
        <f>IF(G203="","",ROUND(G203*15/1000,0))</f>
        <v/>
      </c>
      <c r="J203" s="3">
        <f>IF(G203="","",ROUND(G203*20/1000,0))</f>
        <v/>
      </c>
      <c r="K203" s="1">
        <f>IF(F203="","",ROUND(F203*0.10,0))</f>
        <v/>
      </c>
      <c r="L203" s="3">
        <f>IF(K203="","",ROUND(K203*5/1000,0))</f>
        <v/>
      </c>
      <c r="M203" s="1">
        <f>IF(F203="","",ROUND(F203*$B$247,0))</f>
        <v/>
      </c>
      <c r="N203">
        <f>IF(M203="","",ROUND(M203*$B$248,0))</f>
        <v/>
      </c>
      <c r="O203">
        <f>IF(N203="","",ROUND(N203*$B$249,0))</f>
        <v/>
      </c>
      <c r="P203" s="3">
        <f>IF(O203="","",ROUND(O203*7.30,0))</f>
        <v/>
      </c>
      <c r="Q203" s="3">
        <f>IF(L203="","",L203+P203)</f>
        <v/>
      </c>
    </row>
    <row r="204">
      <c r="A204" s="1" t="inlineStr">
        <is>
          <t>Tier 3</t>
        </is>
      </c>
      <c r="B204" s="1" t="inlineStr">
        <is>
          <t>BZ</t>
        </is>
      </c>
      <c r="E204" s="1">
        <f>IFERROR(ROUND(C204/D204,0),"")</f>
        <v/>
      </c>
      <c r="F204" s="1">
        <f>IF(D204="","",D204*$B$244)</f>
        <v/>
      </c>
      <c r="G204" s="1">
        <f>IF(F204="","",ROUND(F204*$B$246,0))</f>
        <v/>
      </c>
      <c r="H204" s="3">
        <f>IF(G204="","",ROUND(G204*10/1000,0))</f>
        <v/>
      </c>
      <c r="I204" s="3">
        <f>IF(G204="","",ROUND(G204*15/1000,0))</f>
        <v/>
      </c>
      <c r="J204" s="3">
        <f>IF(G204="","",ROUND(G204*20/1000,0))</f>
        <v/>
      </c>
      <c r="K204" s="1">
        <f>IF(F204="","",ROUND(F204*0.10,0))</f>
        <v/>
      </c>
      <c r="L204" s="3">
        <f>IF(K204="","",ROUND(K204*5/1000,0))</f>
        <v/>
      </c>
      <c r="M204" s="1">
        <f>IF(F204="","",ROUND(F204*$B$247,0))</f>
        <v/>
      </c>
      <c r="N204">
        <f>IF(M204="","",ROUND(M204*$B$248,0))</f>
        <v/>
      </c>
      <c r="O204">
        <f>IF(N204="","",ROUND(N204*$B$249,0))</f>
        <v/>
      </c>
      <c r="P204" s="3">
        <f>IF(O204="","",ROUND(O204*7.30,0))</f>
        <v/>
      </c>
      <c r="Q204" s="3">
        <f>IF(L204="","",L204+P204)</f>
        <v/>
      </c>
    </row>
    <row r="205">
      <c r="A205" s="1" t="inlineStr">
        <is>
          <t>Tier 3</t>
        </is>
      </c>
      <c r="B205" s="1" t="inlineStr">
        <is>
          <t>ch</t>
        </is>
      </c>
      <c r="E205" s="1">
        <f>IFERROR(ROUND(C205/D205,0),"")</f>
        <v/>
      </c>
      <c r="F205" s="1">
        <f>IF(D205="","",D205*$B$244)</f>
        <v/>
      </c>
      <c r="G205" s="1">
        <f>IF(F205="","",ROUND(F205*$B$246,0))</f>
        <v/>
      </c>
      <c r="H205" s="3">
        <f>IF(G205="","",ROUND(G205*10/1000,0))</f>
        <v/>
      </c>
      <c r="I205" s="3">
        <f>IF(G205="","",ROUND(G205*15/1000,0))</f>
        <v/>
      </c>
      <c r="J205" s="3">
        <f>IF(G205="","",ROUND(G205*20/1000,0))</f>
        <v/>
      </c>
      <c r="K205" s="1">
        <f>IF(F205="","",ROUND(F205*0.10,0))</f>
        <v/>
      </c>
      <c r="L205" s="3">
        <f>IF(K205="","",ROUND(K205*5/1000,0))</f>
        <v/>
      </c>
      <c r="M205" s="1">
        <f>IF(F205="","",ROUND(F205*$B$247,0))</f>
        <v/>
      </c>
      <c r="N205">
        <f>IF(M205="","",ROUND(M205*$B$248,0))</f>
        <v/>
      </c>
      <c r="O205">
        <f>IF(N205="","",ROUND(N205*$B$249,0))</f>
        <v/>
      </c>
      <c r="P205" s="3">
        <f>IF(O205="","",ROUND(O205*7.30,0))</f>
        <v/>
      </c>
      <c r="Q205" s="3">
        <f>IF(L205="","",L205+P205)</f>
        <v/>
      </c>
    </row>
    <row r="206">
      <c r="A206" s="1" t="inlineStr">
        <is>
          <t>Tier 3</t>
        </is>
      </c>
      <c r="B206" s="1" t="inlineStr">
        <is>
          <t>kh</t>
        </is>
      </c>
      <c r="E206" s="1">
        <f>IFERROR(ROUND(C206/D206,0),"")</f>
        <v/>
      </c>
      <c r="F206" s="1">
        <f>IF(D206="","",D206*$B$244)</f>
        <v/>
      </c>
      <c r="G206" s="1">
        <f>IF(F206="","",ROUND(F206*$B$246,0))</f>
        <v/>
      </c>
      <c r="H206" s="3">
        <f>IF(G206="","",ROUND(G206*10/1000,0))</f>
        <v/>
      </c>
      <c r="I206" s="3">
        <f>IF(G206="","",ROUND(G206*15/1000,0))</f>
        <v/>
      </c>
      <c r="J206" s="3">
        <f>IF(G206="","",ROUND(G206*20/1000,0))</f>
        <v/>
      </c>
      <c r="K206" s="1">
        <f>IF(F206="","",ROUND(F206*0.10,0))</f>
        <v/>
      </c>
      <c r="L206" s="3">
        <f>IF(K206="","",ROUND(K206*5/1000,0))</f>
        <v/>
      </c>
      <c r="M206" s="1">
        <f>IF(F206="","",ROUND(F206*$B$247,0))</f>
        <v/>
      </c>
      <c r="N206">
        <f>IF(M206="","",ROUND(M206*$B$248,0))</f>
        <v/>
      </c>
      <c r="O206">
        <f>IF(N206="","",ROUND(N206*$B$249,0))</f>
        <v/>
      </c>
      <c r="P206" s="3">
        <f>IF(O206="","",ROUND(O206*7.30,0))</f>
        <v/>
      </c>
      <c r="Q206" s="3">
        <f>IF(L206="","",L206+P206)</f>
        <v/>
      </c>
    </row>
    <row r="207">
      <c r="A207" s="1" t="inlineStr">
        <is>
          <t>Tier 3</t>
        </is>
      </c>
      <c r="B207" s="1" t="inlineStr">
        <is>
          <t>lt</t>
        </is>
      </c>
      <c r="E207" s="1">
        <f>IFERROR(ROUND(C207/D207,0),"")</f>
        <v/>
      </c>
      <c r="F207" s="1">
        <f>IF(D207="","",D207*$B$244)</f>
        <v/>
      </c>
      <c r="G207" s="1">
        <f>IF(F207="","",ROUND(F207*$B$246,0))</f>
        <v/>
      </c>
      <c r="H207" s="3">
        <f>IF(G207="","",ROUND(G207*10/1000,0))</f>
        <v/>
      </c>
      <c r="I207" s="3">
        <f>IF(G207="","",ROUND(G207*15/1000,0))</f>
        <v/>
      </c>
      <c r="J207" s="3">
        <f>IF(G207="","",ROUND(G207*20/1000,0))</f>
        <v/>
      </c>
      <c r="K207" s="1">
        <f>IF(F207="","",ROUND(F207*0.10,0))</f>
        <v/>
      </c>
      <c r="L207" s="3">
        <f>IF(K207="","",ROUND(K207*5/1000,0))</f>
        <v/>
      </c>
      <c r="M207" s="1">
        <f>IF(F207="","",ROUND(F207*$B$247,0))</f>
        <v/>
      </c>
      <c r="N207">
        <f>IF(M207="","",ROUND(M207*$B$248,0))</f>
        <v/>
      </c>
      <c r="O207">
        <f>IF(N207="","",ROUND(N207*$B$249,0))</f>
        <v/>
      </c>
      <c r="P207" s="3">
        <f>IF(O207="","",ROUND(O207*7.30,0))</f>
        <v/>
      </c>
      <c r="Q207" s="3">
        <f>IF(L207="","",L207+P207)</f>
        <v/>
      </c>
    </row>
    <row r="208">
      <c r="A208" s="1" t="inlineStr">
        <is>
          <t>Tier 3</t>
        </is>
      </c>
      <c r="B208" s="1" t="inlineStr">
        <is>
          <t>VI</t>
        </is>
      </c>
      <c r="E208" s="1">
        <f>IFERROR(ROUND(C208/D208,0),"")</f>
        <v/>
      </c>
      <c r="F208" s="1">
        <f>IF(D208="","",D208*$B$244)</f>
        <v/>
      </c>
      <c r="G208" s="1">
        <f>IF(F208="","",ROUND(F208*$B$246,0))</f>
        <v/>
      </c>
      <c r="H208" s="3">
        <f>IF(G208="","",ROUND(G208*10/1000,0))</f>
        <v/>
      </c>
      <c r="I208" s="3">
        <f>IF(G208="","",ROUND(G208*15/1000,0))</f>
        <v/>
      </c>
      <c r="J208" s="3">
        <f>IF(G208="","",ROUND(G208*20/1000,0))</f>
        <v/>
      </c>
      <c r="K208" s="1">
        <f>IF(F208="","",ROUND(F208*0.10,0))</f>
        <v/>
      </c>
      <c r="L208" s="3">
        <f>IF(K208="","",ROUND(K208*5/1000,0))</f>
        <v/>
      </c>
      <c r="M208" s="1">
        <f>IF(F208="","",ROUND(F208*$B$247,0))</f>
        <v/>
      </c>
      <c r="N208">
        <f>IF(M208="","",ROUND(M208*$B$248,0))</f>
        <v/>
      </c>
      <c r="O208">
        <f>IF(N208="","",ROUND(N208*$B$249,0))</f>
        <v/>
      </c>
      <c r="P208" s="3">
        <f>IF(O208="","",ROUND(O208*7.30,0))</f>
        <v/>
      </c>
      <c r="Q208" s="3">
        <f>IF(L208="","",L208+P208)</f>
        <v/>
      </c>
    </row>
    <row r="209">
      <c r="A209" s="1" t="inlineStr">
        <is>
          <t>Tier 3</t>
        </is>
      </c>
      <c r="B209" s="1" t="inlineStr">
        <is>
          <t>AG</t>
        </is>
      </c>
      <c r="E209" s="1">
        <f>IFERROR(ROUND(C209/D209,0),"")</f>
        <v/>
      </c>
      <c r="F209" s="1">
        <f>IF(D209="","",D209*$B$244)</f>
        <v/>
      </c>
      <c r="G209" s="1">
        <f>IF(F209="","",ROUND(F209*$B$246,0))</f>
        <v/>
      </c>
      <c r="H209" s="3">
        <f>IF(G209="","",ROUND(G209*10/1000,0))</f>
        <v/>
      </c>
      <c r="I209" s="3">
        <f>IF(G209="","",ROUND(G209*15/1000,0))</f>
        <v/>
      </c>
      <c r="J209" s="3">
        <f>IF(G209="","",ROUND(G209*20/1000,0))</f>
        <v/>
      </c>
      <c r="K209" s="1">
        <f>IF(F209="","",ROUND(F209*0.10,0))</f>
        <v/>
      </c>
      <c r="L209" s="3">
        <f>IF(K209="","",ROUND(K209*5/1000,0))</f>
        <v/>
      </c>
      <c r="M209" s="1">
        <f>IF(F209="","",ROUND(F209*$B$247,0))</f>
        <v/>
      </c>
      <c r="N209">
        <f>IF(M209="","",ROUND(M209*$B$248,0))</f>
        <v/>
      </c>
      <c r="O209">
        <f>IF(N209="","",ROUND(N209*$B$249,0))</f>
        <v/>
      </c>
      <c r="P209" s="3">
        <f>IF(O209="","",ROUND(O209*7.30,0))</f>
        <v/>
      </c>
      <c r="Q209" s="3">
        <f>IF(L209="","",L209+P209)</f>
        <v/>
      </c>
    </row>
    <row r="210">
      <c r="A210" s="1" t="inlineStr">
        <is>
          <t>Tier 3</t>
        </is>
      </c>
      <c r="B210" s="1" t="inlineStr">
        <is>
          <t>GQ</t>
        </is>
      </c>
      <c r="E210" s="1">
        <f>IFERROR(ROUND(C210/D210,0),"")</f>
        <v/>
      </c>
      <c r="F210" s="1">
        <f>IF(D210="","",D210*$B$244)</f>
        <v/>
      </c>
      <c r="G210" s="1">
        <f>IF(F210="","",ROUND(F210*$B$246,0))</f>
        <v/>
      </c>
      <c r="H210" s="3">
        <f>IF(G210="","",ROUND(G210*10/1000,0))</f>
        <v/>
      </c>
      <c r="I210" s="3">
        <f>IF(G210="","",ROUND(G210*15/1000,0))</f>
        <v/>
      </c>
      <c r="J210" s="3">
        <f>IF(G210="","",ROUND(G210*20/1000,0))</f>
        <v/>
      </c>
      <c r="K210" s="1">
        <f>IF(F210="","",ROUND(F210*0.10,0))</f>
        <v/>
      </c>
      <c r="L210" s="3">
        <f>IF(K210="","",ROUND(K210*5/1000,0))</f>
        <v/>
      </c>
      <c r="M210" s="1">
        <f>IF(F210="","",ROUND(F210*$B$247,0))</f>
        <v/>
      </c>
      <c r="N210">
        <f>IF(M210="","",ROUND(M210*$B$248,0))</f>
        <v/>
      </c>
      <c r="O210">
        <f>IF(N210="","",ROUND(N210*$B$249,0))</f>
        <v/>
      </c>
      <c r="P210" s="3">
        <f>IF(O210="","",ROUND(O210*7.30,0))</f>
        <v/>
      </c>
      <c r="Q210" s="3">
        <f>IF(L210="","",L210+P210)</f>
        <v/>
      </c>
    </row>
    <row r="211">
      <c r="A211" s="1" t="inlineStr">
        <is>
          <t>Tier 3</t>
        </is>
      </c>
      <c r="B211" s="1" t="inlineStr">
        <is>
          <t>mn</t>
        </is>
      </c>
      <c r="E211" s="1">
        <f>IFERROR(ROUND(C211/D211,0),"")</f>
        <v/>
      </c>
      <c r="F211" s="1">
        <f>IF(D211="","",D211*$B$244)</f>
        <v/>
      </c>
      <c r="G211" s="1">
        <f>IF(F211="","",ROUND(F211*$B$246,0))</f>
        <v/>
      </c>
      <c r="H211" s="3">
        <f>IF(G211="","",ROUND(G211*10/1000,0))</f>
        <v/>
      </c>
      <c r="I211" s="3">
        <f>IF(G211="","",ROUND(G211*15/1000,0))</f>
        <v/>
      </c>
      <c r="J211" s="3">
        <f>IF(G211="","",ROUND(G211*20/1000,0))</f>
        <v/>
      </c>
      <c r="K211" s="1">
        <f>IF(F211="","",ROUND(F211*0.10,0))</f>
        <v/>
      </c>
      <c r="L211" s="3">
        <f>IF(K211="","",ROUND(K211*5/1000,0))</f>
        <v/>
      </c>
      <c r="M211" s="1">
        <f>IF(F211="","",ROUND(F211*$B$247,0))</f>
        <v/>
      </c>
      <c r="N211">
        <f>IF(M211="","",ROUND(M211*$B$248,0))</f>
        <v/>
      </c>
      <c r="O211">
        <f>IF(N211="","",ROUND(N211*$B$249,0))</f>
        <v/>
      </c>
      <c r="P211" s="3">
        <f>IF(O211="","",ROUND(O211*7.30,0))</f>
        <v/>
      </c>
      <c r="Q211" s="3">
        <f>IF(L211="","",L211+P211)</f>
        <v/>
      </c>
    </row>
    <row r="212">
      <c r="A212" s="1" t="inlineStr">
        <is>
          <t>Tier 3</t>
        </is>
      </c>
      <c r="B212" s="1" t="inlineStr">
        <is>
          <t>mn</t>
        </is>
      </c>
      <c r="E212" s="1">
        <f>IFERROR(ROUND(C212/D212,0),"")</f>
        <v/>
      </c>
      <c r="F212" s="1">
        <f>IF(D212="","",D212*$B$244)</f>
        <v/>
      </c>
      <c r="G212" s="1">
        <f>IF(F212="","",ROUND(F212*$B$246,0))</f>
        <v/>
      </c>
      <c r="H212" s="3">
        <f>IF(G212="","",ROUND(G212*10/1000,0))</f>
        <v/>
      </c>
      <c r="I212" s="3">
        <f>IF(G212="","",ROUND(G212*15/1000,0))</f>
        <v/>
      </c>
      <c r="J212" s="3">
        <f>IF(G212="","",ROUND(G212*20/1000,0))</f>
        <v/>
      </c>
      <c r="K212" s="1">
        <f>IF(F212="","",ROUND(F212*0.10,0))</f>
        <v/>
      </c>
      <c r="L212" s="3">
        <f>IF(K212="","",ROUND(K212*5/1000,0))</f>
        <v/>
      </c>
      <c r="M212" s="1">
        <f>IF(F212="","",ROUND(F212*$B$247,0))</f>
        <v/>
      </c>
      <c r="N212">
        <f>IF(M212="","",ROUND(M212*$B$248,0))</f>
        <v/>
      </c>
      <c r="O212">
        <f>IF(N212="","",ROUND(N212*$B$249,0))</f>
        <v/>
      </c>
      <c r="P212" s="3">
        <f>IF(O212="","",ROUND(O212*7.30,0))</f>
        <v/>
      </c>
      <c r="Q212" s="3">
        <f>IF(L212="","",L212+P212)</f>
        <v/>
      </c>
    </row>
    <row r="213">
      <c r="A213" s="1" t="inlineStr">
        <is>
          <t>Tier 3</t>
        </is>
      </c>
      <c r="B213" s="1" t="inlineStr">
        <is>
          <t>TZ</t>
        </is>
      </c>
      <c r="E213" s="1">
        <f>IFERROR(ROUND(C213/D213,0),"")</f>
        <v/>
      </c>
      <c r="F213" s="1">
        <f>IF(D213="","",D213*$B$244)</f>
        <v/>
      </c>
      <c r="G213" s="1">
        <f>IF(F213="","",ROUND(F213*$B$246,0))</f>
        <v/>
      </c>
      <c r="H213" s="3">
        <f>IF(G213="","",ROUND(G213*10/1000,0))</f>
        <v/>
      </c>
      <c r="I213" s="3">
        <f>IF(G213="","",ROUND(G213*15/1000,0))</f>
        <v/>
      </c>
      <c r="J213" s="3">
        <f>IF(G213="","",ROUND(G213*20/1000,0))</f>
        <v/>
      </c>
      <c r="K213" s="1">
        <f>IF(F213="","",ROUND(F213*0.10,0))</f>
        <v/>
      </c>
      <c r="L213" s="3">
        <f>IF(K213="","",ROUND(K213*5/1000,0))</f>
        <v/>
      </c>
      <c r="M213" s="1">
        <f>IF(F213="","",ROUND(F213*$B$247,0))</f>
        <v/>
      </c>
      <c r="N213">
        <f>IF(M213="","",ROUND(M213*$B$248,0))</f>
        <v/>
      </c>
      <c r="O213">
        <f>IF(N213="","",ROUND(N213*$B$249,0))</f>
        <v/>
      </c>
      <c r="P213" s="3">
        <f>IF(O213="","",ROUND(O213*7.30,0))</f>
        <v/>
      </c>
      <c r="Q213" s="3">
        <f>IF(L213="","",L213+P213)</f>
        <v/>
      </c>
    </row>
    <row r="214">
      <c r="A214" s="1" t="inlineStr">
        <is>
          <t>Tier 3</t>
        </is>
      </c>
      <c r="B214" s="1" t="inlineStr">
        <is>
          <t>ZM</t>
        </is>
      </c>
      <c r="E214" s="1">
        <f>IFERROR(ROUND(C214/D214,0),"")</f>
        <v/>
      </c>
      <c r="F214" s="1">
        <f>IF(D214="","",D214*$B$244)</f>
        <v/>
      </c>
      <c r="G214" s="1">
        <f>IF(F214="","",ROUND(F214*$B$246,0))</f>
        <v/>
      </c>
      <c r="H214" s="3">
        <f>IF(G214="","",ROUND(G214*10/1000,0))</f>
        <v/>
      </c>
      <c r="I214" s="3">
        <f>IF(G214="","",ROUND(G214*15/1000,0))</f>
        <v/>
      </c>
      <c r="J214" s="3">
        <f>IF(G214="","",ROUND(G214*20/1000,0))</f>
        <v/>
      </c>
      <c r="K214" s="1">
        <f>IF(F214="","",ROUND(F214*0.10,0))</f>
        <v/>
      </c>
      <c r="L214" s="3">
        <f>IF(K214="","",ROUND(K214*5/1000,0))</f>
        <v/>
      </c>
      <c r="M214" s="1">
        <f>IF(F214="","",ROUND(F214*$B$247,0))</f>
        <v/>
      </c>
      <c r="N214">
        <f>IF(M214="","",ROUND(M214*$B$248,0))</f>
        <v/>
      </c>
      <c r="O214">
        <f>IF(N214="","",ROUND(N214*$B$249,0))</f>
        <v/>
      </c>
      <c r="P214" s="3">
        <f>IF(O214="","",ROUND(O214*7.30,0))</f>
        <v/>
      </c>
      <c r="Q214" s="3">
        <f>IF(L214="","",L214+P214)</f>
        <v/>
      </c>
    </row>
    <row r="215">
      <c r="A215" s="1" t="inlineStr">
        <is>
          <t>Tier 3</t>
        </is>
      </c>
      <c r="B215" s="1" t="inlineStr">
        <is>
          <t>ZM</t>
        </is>
      </c>
      <c r="E215" s="1">
        <f>IFERROR(ROUND(C215/D215,0),"")</f>
        <v/>
      </c>
      <c r="F215" s="1">
        <f>IF(D215="","",D215*$B$244)</f>
        <v/>
      </c>
      <c r="G215" s="1">
        <f>IF(F215="","",ROUND(F215*$B$246,0))</f>
        <v/>
      </c>
      <c r="H215" s="3">
        <f>IF(G215="","",ROUND(G215*10/1000,0))</f>
        <v/>
      </c>
      <c r="I215" s="3">
        <f>IF(G215="","",ROUND(G215*15/1000,0))</f>
        <v/>
      </c>
      <c r="J215" s="3">
        <f>IF(G215="","",ROUND(G215*20/1000,0))</f>
        <v/>
      </c>
      <c r="K215" s="1">
        <f>IF(F215="","",ROUND(F215*0.10,0))</f>
        <v/>
      </c>
      <c r="L215" s="3">
        <f>IF(K215="","",ROUND(K215*5/1000,0))</f>
        <v/>
      </c>
      <c r="M215" s="1">
        <f>IF(F215="","",ROUND(F215*$B$247,0))</f>
        <v/>
      </c>
      <c r="N215">
        <f>IF(M215="","",ROUND(M215*$B$248,0))</f>
        <v/>
      </c>
      <c r="O215">
        <f>IF(N215="","",ROUND(N215*$B$249,0))</f>
        <v/>
      </c>
      <c r="P215" s="3">
        <f>IF(O215="","",ROUND(O215*7.30,0))</f>
        <v/>
      </c>
      <c r="Q215" s="3">
        <f>IF(L215="","",L215+P215)</f>
        <v/>
      </c>
    </row>
    <row r="216">
      <c r="A216" s="1" t="inlineStr">
        <is>
          <t>Tier 3</t>
        </is>
      </c>
      <c r="B216" s="1" t="inlineStr">
        <is>
          <t>bg</t>
        </is>
      </c>
      <c r="E216" s="1">
        <f>IFERROR(ROUND(C216/D216,0),"")</f>
        <v/>
      </c>
      <c r="F216" s="1">
        <f>IF(D216="","",D216*$B$244)</f>
        <v/>
      </c>
      <c r="G216" s="1">
        <f>IF(F216="","",ROUND(F216*$B$246,0))</f>
        <v/>
      </c>
      <c r="H216" s="3">
        <f>IF(G216="","",ROUND(G216*10/1000,0))</f>
        <v/>
      </c>
      <c r="I216" s="3">
        <f>IF(G216="","",ROUND(G216*15/1000,0))</f>
        <v/>
      </c>
      <c r="J216" s="3">
        <f>IF(G216="","",ROUND(G216*20/1000,0))</f>
        <v/>
      </c>
      <c r="K216" s="1">
        <f>IF(F216="","",ROUND(F216*0.10,0))</f>
        <v/>
      </c>
      <c r="L216" s="3">
        <f>IF(K216="","",ROUND(K216*5/1000,0))</f>
        <v/>
      </c>
      <c r="M216" s="1">
        <f>IF(F216="","",ROUND(F216*$B$247,0))</f>
        <v/>
      </c>
      <c r="N216">
        <f>IF(M216="","",ROUND(M216*$B$248,0))</f>
        <v/>
      </c>
      <c r="O216">
        <f>IF(N216="","",ROUND(N216*$B$249,0))</f>
        <v/>
      </c>
      <c r="P216" s="3">
        <f>IF(O216="","",ROUND(O216*7.30,0))</f>
        <v/>
      </c>
      <c r="Q216" s="3">
        <f>IF(L216="","",L216+P216)</f>
        <v/>
      </c>
    </row>
    <row r="217">
      <c r="A217" s="1" t="inlineStr">
        <is>
          <t>Tier 3</t>
        </is>
      </c>
      <c r="B217" s="1" t="inlineStr">
        <is>
          <t>SD</t>
        </is>
      </c>
      <c r="E217" s="1">
        <f>IFERROR(ROUND(C217/D217,0),"")</f>
        <v/>
      </c>
      <c r="F217" s="1">
        <f>IF(D217="","",D217*$B$244)</f>
        <v/>
      </c>
      <c r="G217" s="1">
        <f>IF(F217="","",ROUND(F217*$B$246,0))</f>
        <v/>
      </c>
      <c r="H217" s="3">
        <f>IF(G217="","",ROUND(G217*10/1000,0))</f>
        <v/>
      </c>
      <c r="I217" s="3">
        <f>IF(G217="","",ROUND(G217*15/1000,0))</f>
        <v/>
      </c>
      <c r="J217" s="3">
        <f>IF(G217="","",ROUND(G217*20/1000,0))</f>
        <v/>
      </c>
      <c r="K217" s="1">
        <f>IF(F217="","",ROUND(F217*0.10,0))</f>
        <v/>
      </c>
      <c r="L217" s="3">
        <f>IF(K217="","",ROUND(K217*5/1000,0))</f>
        <v/>
      </c>
      <c r="M217" s="1">
        <f>IF(F217="","",ROUND(F217*$B$247,0))</f>
        <v/>
      </c>
      <c r="N217">
        <f>IF(M217="","",ROUND(M217*$B$248,0))</f>
        <v/>
      </c>
      <c r="O217">
        <f>IF(N217="","",ROUND(N217*$B$249,0))</f>
        <v/>
      </c>
      <c r="P217" s="3">
        <f>IF(O217="","",ROUND(O217*7.30,0))</f>
        <v/>
      </c>
      <c r="Q217" s="3">
        <f>IF(L217="","",L217+P217)</f>
        <v/>
      </c>
    </row>
    <row r="218">
      <c r="A218" s="1" t="inlineStr">
        <is>
          <t>Tier 3</t>
        </is>
      </c>
      <c r="B218" s="1" t="inlineStr">
        <is>
          <t>SD</t>
        </is>
      </c>
      <c r="E218" s="1">
        <f>IFERROR(ROUND(C218/D218,0),"")</f>
        <v/>
      </c>
      <c r="F218" s="1">
        <f>IF(D218="","",D218*$B$244)</f>
        <v/>
      </c>
      <c r="G218" s="1">
        <f>IF(F218="","",ROUND(F218*$B$246,0))</f>
        <v/>
      </c>
      <c r="H218" s="3">
        <f>IF(G218="","",ROUND(G218*10/1000,0))</f>
        <v/>
      </c>
      <c r="I218" s="3">
        <f>IF(G218="","",ROUND(G218*15/1000,0))</f>
        <v/>
      </c>
      <c r="J218" s="3">
        <f>IF(G218="","",ROUND(G218*20/1000,0))</f>
        <v/>
      </c>
      <c r="K218" s="1">
        <f>IF(F218="","",ROUND(F218*0.10,0))</f>
        <v/>
      </c>
      <c r="L218" s="3">
        <f>IF(K218="","",ROUND(K218*5/1000,0))</f>
        <v/>
      </c>
      <c r="M218" s="1">
        <f>IF(F218="","",ROUND(F218*$B$247,0))</f>
        <v/>
      </c>
      <c r="N218">
        <f>IF(M218="","",ROUND(M218*$B$248,0))</f>
        <v/>
      </c>
      <c r="O218">
        <f>IF(N218="","",ROUND(N218*$B$249,0))</f>
        <v/>
      </c>
      <c r="P218" s="3">
        <f>IF(O218="","",ROUND(O218*7.30,0))</f>
        <v/>
      </c>
      <c r="Q218" s="3">
        <f>IF(L218="","",L218+P218)</f>
        <v/>
      </c>
    </row>
    <row r="219">
      <c r="A219" s="1" t="inlineStr">
        <is>
          <t>Tier 3</t>
        </is>
      </c>
      <c r="B219" s="1" t="inlineStr">
        <is>
          <t>vn</t>
        </is>
      </c>
      <c r="E219" s="1">
        <f>IFERROR(ROUND(C219/D219,0),"")</f>
        <v/>
      </c>
      <c r="F219" s="1">
        <f>IF(D219="","",D219*$B$244)</f>
        <v/>
      </c>
      <c r="G219" s="1">
        <f>IF(F219="","",ROUND(F219*$B$246,0))</f>
        <v/>
      </c>
      <c r="H219" s="3">
        <f>IF(G219="","",ROUND(G219*10/1000,0))</f>
        <v/>
      </c>
      <c r="I219" s="3">
        <f>IF(G219="","",ROUND(G219*15/1000,0))</f>
        <v/>
      </c>
      <c r="J219" s="3">
        <f>IF(G219="","",ROUND(G219*20/1000,0))</f>
        <v/>
      </c>
      <c r="K219" s="1">
        <f>IF(F219="","",ROUND(F219*0.10,0))</f>
        <v/>
      </c>
      <c r="L219" s="3">
        <f>IF(K219="","",ROUND(K219*5/1000,0))</f>
        <v/>
      </c>
      <c r="M219" s="1">
        <f>IF(F219="","",ROUND(F219*$B$247,0))</f>
        <v/>
      </c>
      <c r="N219">
        <f>IF(M219="","",ROUND(M219*$B$248,0))</f>
        <v/>
      </c>
      <c r="O219">
        <f>IF(N219="","",ROUND(N219*$B$249,0))</f>
        <v/>
      </c>
      <c r="P219" s="3">
        <f>IF(O219="","",ROUND(O219*7.30,0))</f>
        <v/>
      </c>
      <c r="Q219" s="3">
        <f>IF(L219="","",L219+P219)</f>
        <v/>
      </c>
    </row>
    <row r="220">
      <c r="A220" s="1" t="inlineStr">
        <is>
          <t>Tier 3</t>
        </is>
      </c>
      <c r="B220" s="1" t="inlineStr">
        <is>
          <t>vn</t>
        </is>
      </c>
      <c r="E220" s="1">
        <f>IFERROR(ROUND(C220/D220,0),"")</f>
        <v/>
      </c>
      <c r="F220" s="1">
        <f>IF(D220="","",D220*$B$244)</f>
        <v/>
      </c>
      <c r="G220" s="1">
        <f>IF(F220="","",ROUND(F220*$B$246,0))</f>
        <v/>
      </c>
      <c r="H220" s="3">
        <f>IF(G220="","",ROUND(G220*10/1000,0))</f>
        <v/>
      </c>
      <c r="I220" s="3">
        <f>IF(G220="","",ROUND(G220*15/1000,0))</f>
        <v/>
      </c>
      <c r="J220" s="3">
        <f>IF(G220="","",ROUND(G220*20/1000,0))</f>
        <v/>
      </c>
      <c r="K220" s="1">
        <f>IF(F220="","",ROUND(F220*0.10,0))</f>
        <v/>
      </c>
      <c r="L220" s="3">
        <f>IF(K220="","",ROUND(K220*5/1000,0))</f>
        <v/>
      </c>
      <c r="M220" s="1">
        <f>IF(F220="","",ROUND(F220*$B$247,0))</f>
        <v/>
      </c>
      <c r="N220">
        <f>IF(M220="","",ROUND(M220*$B$248,0))</f>
        <v/>
      </c>
      <c r="O220">
        <f>IF(N220="","",ROUND(N220*$B$249,0))</f>
        <v/>
      </c>
      <c r="P220" s="3">
        <f>IF(O220="","",ROUND(O220*7.30,0))</f>
        <v/>
      </c>
      <c r="Q220" s="3">
        <f>IF(L220="","",L220+P220)</f>
        <v/>
      </c>
    </row>
    <row r="221">
      <c r="A221" s="1" t="inlineStr">
        <is>
          <t>Excluded (RU)</t>
        </is>
      </c>
      <c r="B221" s="1" t="inlineStr">
        <is>
          <t>RU</t>
        </is>
      </c>
      <c r="C221" s="2" t="n">
        <v>19117358</v>
      </c>
      <c r="D221" s="2" t="n">
        <v>488448</v>
      </c>
      <c r="E221" s="1">
        <f>IFERROR(ROUND(C221/D221,0),"")</f>
        <v/>
      </c>
      <c r="F221" s="2">
        <f>IF(D221="","",D221*$B$244)</f>
        <v/>
      </c>
      <c r="H221" s="3" t="n">
        <v>0</v>
      </c>
      <c r="I221" s="3" t="n">
        <v>0</v>
      </c>
      <c r="J221" s="3" t="n">
        <v>0</v>
      </c>
      <c r="L221" s="3" t="n">
        <v>0</v>
      </c>
      <c r="M221" s="2">
        <f>IF(F221="","",ROUND(F221*$B$247,0))</f>
        <v/>
      </c>
      <c r="N221" s="2">
        <f>IF(M221="","",ROUND(M221*$B$248,0))</f>
        <v/>
      </c>
      <c r="O221" s="2">
        <f>IF(N221="","",ROUND(N221*$B$249,0))</f>
        <v/>
      </c>
      <c r="P221" s="3">
        <f>IF(O221="","",ROUND(O221*7.30,0))</f>
        <v/>
      </c>
      <c r="Q221" s="3">
        <f>P221</f>
        <v/>
      </c>
    </row>
    <row r="222">
      <c r="A222" s="1" t="inlineStr">
        <is>
          <t>Excluded (RU)</t>
        </is>
      </c>
      <c r="B222" s="1" t="inlineStr">
        <is>
          <t>ru</t>
        </is>
      </c>
      <c r="C222" s="2" t="n">
        <v>1643</v>
      </c>
      <c r="D222" s="1" t="n">
        <v>351</v>
      </c>
      <c r="E222" s="1">
        <f>IFERROR(ROUND(C222/D222,0),"")</f>
        <v/>
      </c>
      <c r="F222" s="2">
        <f>IF(D222="","",D222*$B$244)</f>
        <v/>
      </c>
      <c r="H222" s="3" t="n">
        <v>0</v>
      </c>
      <c r="I222" s="3" t="n">
        <v>0</v>
      </c>
      <c r="J222" s="3" t="n">
        <v>0</v>
      </c>
      <c r="L222" s="3" t="n">
        <v>0</v>
      </c>
      <c r="M222" s="2">
        <f>IF(F222="","",ROUND(F222*$B$247,0))</f>
        <v/>
      </c>
      <c r="N222">
        <f>IF(M222="","",ROUND(M222*$B$248,0))</f>
        <v/>
      </c>
      <c r="O222">
        <f>IF(N222="","",ROUND(N222*$B$249,0))</f>
        <v/>
      </c>
      <c r="P222" s="3">
        <f>IF(O222="","",ROUND(O222*7.30,0))</f>
        <v/>
      </c>
      <c r="Q222" s="3">
        <f>P222</f>
        <v/>
      </c>
    </row>
    <row r="223"/>
    <row r="224"/>
    <row r="225">
      <c r="A225" s="1" t="inlineStr">
        <is>
          <t>SUBTOTALS BY TIER</t>
        </is>
      </c>
    </row>
    <row r="226">
      <c r="A226" s="1" t="inlineStr">
        <is>
          <t>Tier 1</t>
        </is>
      </c>
      <c r="B226" s="1" t="inlineStr">
        <is>
          <t>8 countries</t>
        </is>
      </c>
      <c r="C226" s="2">
        <f>SUM(C2:C9)</f>
        <v/>
      </c>
      <c r="D226" s="2">
        <f>SUM(D2:D9)</f>
        <v/>
      </c>
      <c r="F226" s="2">
        <f>SUM(F2:F9)</f>
        <v/>
      </c>
      <c r="G226" s="2">
        <f>SUM(G2:G9)</f>
        <v/>
      </c>
      <c r="H226" s="3">
        <f>SUM(H2:H9)</f>
        <v/>
      </c>
      <c r="I226" s="3">
        <f>SUM(I2:I9)</f>
        <v/>
      </c>
      <c r="J226" s="3">
        <f>SUM(J2:J9)</f>
        <v/>
      </c>
      <c r="K226" s="2">
        <f>SUM(K2:K9)</f>
        <v/>
      </c>
      <c r="L226" s="3">
        <f>SUM(L2:L9)</f>
        <v/>
      </c>
      <c r="M226" s="2">
        <f>SUM(M2:M9)</f>
        <v/>
      </c>
      <c r="N226" s="2">
        <f>SUM(N2:N9)</f>
        <v/>
      </c>
      <c r="O226" s="2">
        <f>SUM(O2:O9)</f>
        <v/>
      </c>
      <c r="P226" s="3">
        <f>SUM(P2:P9)</f>
        <v/>
      </c>
      <c r="Q226" s="3">
        <f>SUM(Q2:Q9)</f>
        <v/>
      </c>
    </row>
    <row r="227">
      <c r="A227" s="1" t="inlineStr">
        <is>
          <t>Tier 2</t>
        </is>
      </c>
      <c r="B227" s="1" t="inlineStr">
        <is>
          <t>5 countries</t>
        </is>
      </c>
      <c r="C227" s="2">
        <f>SUM(C10:C14)</f>
        <v/>
      </c>
      <c r="D227" s="2">
        <f>SUM(D10:D14)</f>
        <v/>
      </c>
      <c r="F227" s="2">
        <f>SUM(F10:F14)</f>
        <v/>
      </c>
      <c r="G227" s="2">
        <f>SUM(G10:G14)</f>
        <v/>
      </c>
      <c r="H227" s="3">
        <f>SUM(H10:H14)</f>
        <v/>
      </c>
      <c r="I227" s="3">
        <f>SUM(I10:I14)</f>
        <v/>
      </c>
      <c r="J227" s="3">
        <f>SUM(J10:J14)</f>
        <v/>
      </c>
      <c r="K227" s="2">
        <f>SUM(K10:K14)</f>
        <v/>
      </c>
      <c r="L227" s="3">
        <f>SUM(L10:L14)</f>
        <v/>
      </c>
      <c r="M227" s="2">
        <f>SUM(M10:M14)</f>
        <v/>
      </c>
      <c r="N227" s="2">
        <f>SUM(N10:N14)</f>
        <v/>
      </c>
      <c r="O227" s="2">
        <f>SUM(O10:O14)</f>
        <v/>
      </c>
      <c r="P227" s="3">
        <f>SUM(P10:P14)</f>
        <v/>
      </c>
      <c r="Q227" s="3">
        <f>SUM(Q10:Q14)</f>
        <v/>
      </c>
    </row>
    <row r="228">
      <c r="A228" s="1" t="inlineStr">
        <is>
          <t>Tier 3</t>
        </is>
      </c>
      <c r="B228" s="1" t="inlineStr">
        <is>
          <t>206 countries</t>
        </is>
      </c>
      <c r="C228" s="2">
        <f>SUM(C15:C220)</f>
        <v/>
      </c>
      <c r="D228" s="2">
        <f>SUM(D15:D220)</f>
        <v/>
      </c>
      <c r="F228" s="2">
        <f>SUM(F15:F220)</f>
        <v/>
      </c>
      <c r="G228" s="2">
        <f>SUM(G15:G220)</f>
        <v/>
      </c>
      <c r="H228" s="3">
        <f>SUM(H15:H220)</f>
        <v/>
      </c>
      <c r="I228" s="3">
        <f>SUM(I15:I220)</f>
        <v/>
      </c>
      <c r="J228" s="3">
        <f>SUM(J15:J220)</f>
        <v/>
      </c>
      <c r="K228" s="2">
        <f>SUM(K15:K220)</f>
        <v/>
      </c>
      <c r="L228" s="3">
        <f>SUM(L15:L220)</f>
        <v/>
      </c>
      <c r="M228" s="2">
        <f>SUM(M15:M220)</f>
        <v/>
      </c>
      <c r="N228" s="2">
        <f>SUM(N15:N220)</f>
        <v/>
      </c>
      <c r="O228" s="2">
        <f>SUM(O15:O220)</f>
        <v/>
      </c>
      <c r="P228" s="3">
        <f>SUM(P15:P220)</f>
        <v/>
      </c>
      <c r="Q228" s="3">
        <f>SUM(Q15:Q220)</f>
        <v/>
      </c>
    </row>
    <row r="229">
      <c r="A229" s="1" t="inlineStr">
        <is>
          <t>Excluded (RU)</t>
        </is>
      </c>
      <c r="B229" s="1" t="inlineStr">
        <is>
          <t>2 countries</t>
        </is>
      </c>
      <c r="C229" s="2">
        <f>SUM(C221:C222)</f>
        <v/>
      </c>
      <c r="D229" s="2">
        <f>SUM(D221:D222)</f>
        <v/>
      </c>
      <c r="F229" s="2">
        <f>SUM(F221:F222)</f>
        <v/>
      </c>
      <c r="H229" s="3">
        <f>SUM(H221:H222)</f>
        <v/>
      </c>
      <c r="I229" s="3">
        <f>SUM(I221:I222)</f>
        <v/>
      </c>
      <c r="J229" s="3">
        <f>SUM(J221:J222)</f>
        <v/>
      </c>
      <c r="L229" s="3">
        <f>SUM(L221:L222)</f>
        <v/>
      </c>
      <c r="M229" s="2">
        <f>SUM(M221:M222)</f>
        <v/>
      </c>
      <c r="N229" s="2">
        <f>SUM(N221:N222)</f>
        <v/>
      </c>
      <c r="O229" s="2">
        <f>SUM(O221:O222)</f>
        <v/>
      </c>
      <c r="P229" s="3">
        <f>SUM(P221:P222)</f>
        <v/>
      </c>
      <c r="Q229" s="3">
        <f>SUM(Q221:Q222)</f>
        <v/>
      </c>
    </row>
    <row r="230">
      <c r="A230" s="1" t="inlineStr">
        <is>
          <t>GRAND TOTAL</t>
        </is>
      </c>
      <c r="B230" s="1" t="inlineStr">
        <is>
          <t>All</t>
        </is>
      </c>
      <c r="C230" s="2">
        <f>SUM(C226:C229)</f>
        <v/>
      </c>
      <c r="D230" s="2">
        <f>SUM(D226:D229)</f>
        <v/>
      </c>
      <c r="F230" s="2">
        <f>SUM(F226:F229)</f>
        <v/>
      </c>
      <c r="G230" s="2">
        <f>SUM(G226:G229)</f>
        <v/>
      </c>
      <c r="H230" s="3">
        <f>SUM(H226:H229)</f>
        <v/>
      </c>
      <c r="I230" s="3">
        <f>SUM(I226:I229)</f>
        <v/>
      </c>
      <c r="J230" s="3">
        <f>SUM(J226:J229)</f>
        <v/>
      </c>
      <c r="K230" s="2">
        <f>SUM(K226:K229)</f>
        <v/>
      </c>
      <c r="L230" s="3">
        <f>SUM(L226:L229)</f>
        <v/>
      </c>
      <c r="M230" s="2">
        <f>SUM(M226:M229)</f>
        <v/>
      </c>
      <c r="N230" s="2">
        <f>SUM(N226:N229)</f>
        <v/>
      </c>
      <c r="O230" s="2">
        <f>SUM(O226:O229)</f>
        <v/>
      </c>
      <c r="P230" s="3">
        <f>SUM(P226:P229)</f>
        <v/>
      </c>
      <c r="Q230" s="3">
        <f>SUM(Q226:Q229)</f>
        <v/>
      </c>
    </row>
    <row r="231"/>
    <row r="232"/>
    <row r="233">
      <c r="A233" s="1" t="inlineStr">
        <is>
          <t>SCENARIO COMPARISON (ANNUAL)</t>
        </is>
      </c>
    </row>
    <row r="234"/>
    <row r="235">
      <c r="A235" s="1" t="inlineStr">
        <is>
          <t>Scenario</t>
        </is>
      </c>
      <c r="B235" s="1" t="inlineStr">
        <is>
          <t>Fill Rate</t>
        </is>
      </c>
      <c r="C235" s="1" t="inlineStr">
        <is>
          <t>CPM Assumption</t>
        </is>
      </c>
      <c r="D235" s="1" t="inlineStr">
        <is>
          <t>Tier 1 Annual</t>
        </is>
      </c>
      <c r="E235" s="1" t="inlineStr">
        <is>
          <t>Tier 2 Annual</t>
        </is>
      </c>
      <c r="F235" s="1" t="inlineStr">
        <is>
          <t>RoW Annual</t>
        </is>
      </c>
      <c r="G235" s="1" t="inlineStr">
        <is>
          <t>Total Ad Rev (Annual)</t>
        </is>
      </c>
      <c r="H235" s="1" t="inlineStr">
        <is>
          <t>Subs Rev (Annual)</t>
        </is>
      </c>
      <c r="I235" s="1" t="inlineStr">
        <is>
          <t>Combined (Annual)</t>
        </is>
      </c>
    </row>
    <row r="236">
      <c r="A236" s="1" t="inlineStr">
        <is>
          <t>Conservative (Year 1)</t>
        </is>
      </c>
      <c r="B236" s="1" t="inlineStr">
        <is>
          <t>20% T1/T2 - 10% RoW</t>
        </is>
      </c>
      <c r="C236" s="1" t="inlineStr">
        <is>
          <t>T1 $15 / T2 $10 / RoW $5</t>
        </is>
      </c>
      <c r="D236" s="3" t="n">
        <v>185</v>
      </c>
      <c r="E236" s="1" t="n">
        <v>280</v>
      </c>
      <c r="F236" s="3" t="n">
        <v>178</v>
      </c>
      <c r="G236" s="1" t="n">
        <v>680</v>
      </c>
      <c r="H236" s="3" t="n">
        <v>121</v>
      </c>
      <c r="I236" s="1" t="n">
        <v>825</v>
      </c>
      <c r="J236" s="3" t="n">
        <v>485</v>
      </c>
      <c r="K236" s="1" t="n">
        <v>785</v>
      </c>
      <c r="L236" s="3" t="n">
        <v>810</v>
      </c>
      <c r="M236" s="1" t="n">
        <v>324</v>
      </c>
      <c r="N236" s="3" t="n">
        <v>1</v>
      </c>
      <c r="O236" s="1" t="n">
        <v>296</v>
      </c>
      <c r="P236" s="1" t="n">
        <v>109</v>
      </c>
    </row>
    <row r="237">
      <c r="A237" s="1" t="inlineStr">
        <is>
          <t>Mid Case</t>
        </is>
      </c>
      <c r="B237" s="1" t="inlineStr">
        <is>
          <t>20% T1/T2 - 10% RoW</t>
        </is>
      </c>
      <c r="C237" s="1" t="inlineStr">
        <is>
          <t>T1 $20 / T2 $15 / RoW $5</t>
        </is>
      </c>
      <c r="D237" s="3" t="n">
        <v>247</v>
      </c>
      <c r="E237" s="1" t="n">
        <v>56</v>
      </c>
      <c r="F237" s="3" t="n">
        <v>268</v>
      </c>
      <c r="G237" s="1" t="n">
        <v>20</v>
      </c>
      <c r="H237" s="3" t="n">
        <v>121</v>
      </c>
      <c r="I237" s="1" t="n">
        <v>825</v>
      </c>
      <c r="J237" s="3" t="n">
        <v>636</v>
      </c>
      <c r="K237" s="1" t="n">
        <v>901</v>
      </c>
      <c r="L237" s="3" t="n">
        <v>810</v>
      </c>
      <c r="M237" s="1" t="n">
        <v>324</v>
      </c>
      <c r="N237" s="3" t="n">
        <v>1</v>
      </c>
      <c r="O237" s="1" t="n">
        <v>447</v>
      </c>
      <c r="P237" s="1" t="n">
        <v>225</v>
      </c>
    </row>
    <row r="238">
      <c r="A238" s="1" t="inlineStr">
        <is>
          <t>100% Fill Ceiling</t>
        </is>
      </c>
      <c r="B238" s="1" t="inlineStr">
        <is>
          <t>100% all tiers</t>
        </is>
      </c>
      <c r="C238" s="1" t="inlineStr">
        <is>
          <t>T1 $15 / T2 $10 / RoW $5</t>
        </is>
      </c>
      <c r="D238" s="3" t="n">
        <v>926</v>
      </c>
      <c r="E238" s="1" t="n">
        <v>458</v>
      </c>
      <c r="F238" s="3" t="n">
        <v>893</v>
      </c>
      <c r="G238" s="1" t="n">
        <v>387</v>
      </c>
      <c r="H238" s="3" t="n">
        <v>1</v>
      </c>
      <c r="I238" s="1" t="n">
        <v>218</v>
      </c>
      <c r="J238" s="1" t="n">
        <v>274</v>
      </c>
      <c r="K238" s="3" t="n">
        <v>3</v>
      </c>
      <c r="L238" s="1" t="n">
        <v>38</v>
      </c>
      <c r="M238" s="1" t="n">
        <v>119</v>
      </c>
      <c r="N238" s="3" t="n">
        <v>810</v>
      </c>
      <c r="O238" s="1" t="n">
        <v>324</v>
      </c>
      <c r="P238" s="3" t="n">
        <v>3</v>
      </c>
      <c r="Q238" s="1" t="n">
        <v>848</v>
      </c>
      <c r="R238" s="1" t="n">
        <v>443</v>
      </c>
    </row>
    <row r="239"/>
    <row r="240"/>
    <row r="241">
      <c r="A241" s="1" t="inlineStr">
        <is>
          <t>ASSUMPTIONS</t>
        </is>
      </c>
    </row>
    <row r="242"/>
    <row r="243">
      <c r="A243" s="1" t="inlineStr">
        <is>
          <t>Parameter</t>
        </is>
      </c>
      <c r="B243" s="1" t="inlineStr">
        <is>
          <t>Value</t>
        </is>
      </c>
      <c r="C243" s="1" t="inlineStr">
        <is>
          <t>Notes</t>
        </is>
      </c>
    </row>
    <row r="244">
      <c r="A244" s="1" t="inlineStr">
        <is>
          <t>Ad pods per user per month</t>
        </is>
      </c>
      <c r="B244" s="1" t="n">
        <v>28</v>
      </c>
      <c r="C244" s="1" t="inlineStr">
        <is>
          <t>1 pod per daily session × 28 days</t>
        </is>
      </c>
    </row>
    <row r="245">
      <c r="A245" s="1" t="inlineStr">
        <is>
          <t>Slots per ad pod</t>
        </is>
      </c>
      <c r="B245" s="1" t="inlineStr">
        <is>
          <t>Up to 3</t>
        </is>
      </c>
      <c r="C245" s="1" t="inlineStr">
        <is>
          <t>3 × 30s = 90s max per match</t>
        </is>
      </c>
    </row>
    <row r="246">
      <c r="A246" s="1" t="inlineStr">
        <is>
          <t>Paid fill rate (base)</t>
        </is>
      </c>
      <c r="B246" s="4" t="n">
        <v>0.2</v>
      </c>
      <c r="C246" s="1" t="inlineStr">
        <is>
          <t>T1 and T2; 10% for RoW</t>
        </is>
      </c>
    </row>
    <row r="247">
      <c r="A247" s="1" t="inlineStr">
        <is>
          <t>House ads fill</t>
        </is>
      </c>
      <c r="B247" s="4" t="n">
        <v>0.8</v>
      </c>
      <c r="C247" s="1" t="inlineStr">
        <is>
          <t>Unfilled pods serve subscription promotions</t>
        </is>
      </c>
    </row>
    <row r="248">
      <c r="A248" s="1" t="inlineStr">
        <is>
          <t>Subs conversion rate</t>
        </is>
      </c>
      <c r="B248" s="5" t="n">
        <v>0.0005</v>
      </c>
      <c r="C248" s="1" t="inlineStr">
        <is>
          <t>Of house ad viewers</t>
        </is>
      </c>
    </row>
    <row r="249">
      <c r="A249" s="1" t="inlineStr">
        <is>
          <t>Subs cannibalisation</t>
        </is>
      </c>
      <c r="B249" s="4" t="n">
        <v>0.5</v>
      </c>
      <c r="C249" s="1" t="inlineStr">
        <is>
          <t>Half would have subscribed anyway</t>
        </is>
      </c>
    </row>
    <row r="250">
      <c r="A250" s="1" t="inlineStr">
        <is>
          <t>Sub price</t>
        </is>
      </c>
      <c r="B250" s="1" t="inlineStr">
        <is>
          <t>$7.30/month</t>
        </is>
      </c>
      <c r="C250" s="1" t="inlineStr">
        <is>
          <t>FACEIT Premium monthly price</t>
        </is>
      </c>
    </row>
    <row r="251">
      <c r="A251" s="1" t="inlineStr">
        <is>
          <t>Russia</t>
        </is>
      </c>
      <c r="B251" s="1" t="inlineStr">
        <is>
          <t>Excluded</t>
        </is>
      </c>
      <c r="C251" s="1" t="inlineStr">
        <is>
          <t>GAM does not operate in Russia — house ads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2026-03-24T10:06:00Z</dcterms:created>
  <dcterms:modified xmlns:dcterms="http://purl.org/dc/terms/" xmlns:xsi="http://www.w3.org/2001/XMLSchema-instance" xsi:type="dcterms:W3CDTF">2026-03-24T10:06:00Z</dcterms:modified>
</cp:coreProperties>
</file>