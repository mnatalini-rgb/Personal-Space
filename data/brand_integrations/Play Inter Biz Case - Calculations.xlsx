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lay Inter Biz Case" sheetId="1" r:id="rId1"/>
  </sheets>
  <calcPr calcId="124519" fullCalcOnLoad="1"/>
</workbook>
</file>

<file path=xl/sharedStrings.xml><?xml version="1.0" encoding="utf-8"?>
<sst xmlns="http://schemas.openxmlformats.org/spreadsheetml/2006/main" count="458" uniqueCount="268">
  <si>
    <t>Tier</t>
  </si>
  <si>
    <t>Country</t>
  </si>
  <si>
    <t>Monthly Sessions</t>
  </si>
  <si>
    <t>Unique Users</t>
  </si>
  <si>
    <t>Ad Pods/Month</t>
  </si>
  <si>
    <t>Impressions/Month</t>
  </si>
  <si>
    <t>Fill Rate</t>
  </si>
  <si>
    <t>Filled Impressions</t>
  </si>
  <si>
    <t>CPM ($)</t>
  </si>
  <si>
    <t>Monthly Ad Rev ($)</t>
  </si>
  <si>
    <t>Annual Ad Rev ($)</t>
  </si>
  <si>
    <t>House Ads
(unfilled pods)</t>
  </si>
  <si>
    <t>Subs Conversion
(0.05%)</t>
  </si>
  <si>
    <t>Cannibalisation
(50%)</t>
  </si>
  <si>
    <t>Monthly Subs Rev ($)</t>
  </si>
  <si>
    <t>Annual Subs Rev ($)</t>
  </si>
  <si>
    <t>Monthly Total ($)</t>
  </si>
  <si>
    <t>Annual Total ($)</t>
  </si>
  <si>
    <t>Tier 1</t>
  </si>
  <si>
    <t>DE</t>
  </si>
  <si>
    <t>US</t>
  </si>
  <si>
    <t>FR</t>
  </si>
  <si>
    <t>GB</t>
  </si>
  <si>
    <t>ES</t>
  </si>
  <si>
    <t>CA</t>
  </si>
  <si>
    <t>IT</t>
  </si>
  <si>
    <t>AU</t>
  </si>
  <si>
    <t>Tier 2</t>
  </si>
  <si>
    <t>PL</t>
  </si>
  <si>
    <t>RO</t>
  </si>
  <si>
    <t>FI</t>
  </si>
  <si>
    <t>PT</t>
  </si>
  <si>
    <t>NL</t>
  </si>
  <si>
    <t>DK</t>
  </si>
  <si>
    <t>SE</t>
  </si>
  <si>
    <t>RS</t>
  </si>
  <si>
    <t>LT</t>
  </si>
  <si>
    <t>CZ</t>
  </si>
  <si>
    <t>LV</t>
  </si>
  <si>
    <t>SK</t>
  </si>
  <si>
    <t>HU</t>
  </si>
  <si>
    <t>EE</t>
  </si>
  <si>
    <t>NO</t>
  </si>
  <si>
    <t>AT</t>
  </si>
  <si>
    <t>CH</t>
  </si>
  <si>
    <t>BE</t>
  </si>
  <si>
    <t>HR</t>
  </si>
  <si>
    <t>GR</t>
  </si>
  <si>
    <t>KR</t>
  </si>
  <si>
    <t>AE</t>
  </si>
  <si>
    <t>JO</t>
  </si>
  <si>
    <t>IE</t>
  </si>
  <si>
    <t>SG</t>
  </si>
  <si>
    <t>SI</t>
  </si>
  <si>
    <t>JP</t>
  </si>
  <si>
    <t>SA</t>
  </si>
  <si>
    <t>IS</t>
  </si>
  <si>
    <t>CY</t>
  </si>
  <si>
    <t>NZ</t>
  </si>
  <si>
    <t>LI</t>
  </si>
  <si>
    <t>FO</t>
  </si>
  <si>
    <t>Tier 3</t>
  </si>
  <si>
    <t>KZ</t>
  </si>
  <si>
    <t>UA</t>
  </si>
  <si>
    <t>TR</t>
  </si>
  <si>
    <t>XK</t>
  </si>
  <si>
    <t>BY</t>
  </si>
  <si>
    <t>UZ</t>
  </si>
  <si>
    <t>MN</t>
  </si>
  <si>
    <t>BR</t>
  </si>
  <si>
    <t>MK</t>
  </si>
  <si>
    <t>AR</t>
  </si>
  <si>
    <t>KG</t>
  </si>
  <si>
    <t>GE</t>
  </si>
  <si>
    <t>BG</t>
  </si>
  <si>
    <t>PK</t>
  </si>
  <si>
    <t>MD</t>
  </si>
  <si>
    <t>AL</t>
  </si>
  <si>
    <t>BA</t>
  </si>
  <si>
    <t>TJ</t>
  </si>
  <si>
    <t>VN</t>
  </si>
  <si>
    <t>IL</t>
  </si>
  <si>
    <t>DZ</t>
  </si>
  <si>
    <t>AZ</t>
  </si>
  <si>
    <t>LB</t>
  </si>
  <si>
    <t>PH</t>
  </si>
  <si>
    <t>IN</t>
  </si>
  <si>
    <t>MY</t>
  </si>
  <si>
    <t>IR</t>
  </si>
  <si>
    <t>TH</t>
  </si>
  <si>
    <t>ME</t>
  </si>
  <si>
    <t>HK</t>
  </si>
  <si>
    <t>CL</t>
  </si>
  <si>
    <t>ID</t>
  </si>
  <si>
    <t>AM</t>
  </si>
  <si>
    <t>CN</t>
  </si>
  <si>
    <t>PE</t>
  </si>
  <si>
    <t>PS</t>
  </si>
  <si>
    <t>TW</t>
  </si>
  <si>
    <t>UY</t>
  </si>
  <si>
    <t>IQ</t>
  </si>
  <si>
    <t>VE</t>
  </si>
  <si>
    <t>TN</t>
  </si>
  <si>
    <t>MA</t>
  </si>
  <si>
    <t>MX</t>
  </si>
  <si>
    <t>EG</t>
  </si>
  <si>
    <t>SY</t>
  </si>
  <si>
    <t>CO</t>
  </si>
  <si>
    <t>KH</t>
  </si>
  <si>
    <t>BD</t>
  </si>
  <si>
    <t>KW</t>
  </si>
  <si>
    <t>LU</t>
  </si>
  <si>
    <t>PY</t>
  </si>
  <si>
    <t>MM</t>
  </si>
  <si>
    <t>QA</t>
  </si>
  <si>
    <t>MT</t>
  </si>
  <si>
    <t>BN</t>
  </si>
  <si>
    <t>LK</t>
  </si>
  <si>
    <t>BO</t>
  </si>
  <si>
    <t>EC</t>
  </si>
  <si>
    <t>OM</t>
  </si>
  <si>
    <t>LY</t>
  </si>
  <si>
    <t>DO</t>
  </si>
  <si>
    <t>MO</t>
  </si>
  <si>
    <t>CR</t>
  </si>
  <si>
    <t>NP</t>
  </si>
  <si>
    <t>AX</t>
  </si>
  <si>
    <t>GT</t>
  </si>
  <si>
    <t>PA</t>
  </si>
  <si>
    <t>BH</t>
  </si>
  <si>
    <t>LA</t>
  </si>
  <si>
    <t>MV</t>
  </si>
  <si>
    <t>MU</t>
  </si>
  <si>
    <t>CI</t>
  </si>
  <si>
    <t>SV</t>
  </si>
  <si>
    <t>JE</t>
  </si>
  <si>
    <t>HN</t>
  </si>
  <si>
    <t>KE</t>
  </si>
  <si>
    <t>ZA</t>
  </si>
  <si>
    <t>PR</t>
  </si>
  <si>
    <t>IM</t>
  </si>
  <si>
    <t>RE</t>
  </si>
  <si>
    <t>GH</t>
  </si>
  <si>
    <t>SN</t>
  </si>
  <si>
    <t>AD</t>
  </si>
  <si>
    <t>NC</t>
  </si>
  <si>
    <t>AO</t>
  </si>
  <si>
    <t>MC</t>
  </si>
  <si>
    <t>MR</t>
  </si>
  <si>
    <t>MQ</t>
  </si>
  <si>
    <t>TG</t>
  </si>
  <si>
    <t>NG</t>
  </si>
  <si>
    <t>TD</t>
  </si>
  <si>
    <t>TM</t>
  </si>
  <si>
    <t>DJ</t>
  </si>
  <si>
    <t>GL</t>
  </si>
  <si>
    <t>GU</t>
  </si>
  <si>
    <t>GA</t>
  </si>
  <si>
    <t>GG</t>
  </si>
  <si>
    <t>CW</t>
  </si>
  <si>
    <t>JM</t>
  </si>
  <si>
    <t>TT</t>
  </si>
  <si>
    <t>MG</t>
  </si>
  <si>
    <t>BS</t>
  </si>
  <si>
    <t>NI</t>
  </si>
  <si>
    <t>GP</t>
  </si>
  <si>
    <t>ET</t>
  </si>
  <si>
    <t>AW</t>
  </si>
  <si>
    <t>ZW</t>
  </si>
  <si>
    <t>KY</t>
  </si>
  <si>
    <t>AF</t>
  </si>
  <si>
    <t>MF</t>
  </si>
  <si>
    <t>BQ</t>
  </si>
  <si>
    <t>GI</t>
  </si>
  <si>
    <t>GN</t>
  </si>
  <si>
    <t>TZ</t>
  </si>
  <si>
    <t>BJ</t>
  </si>
  <si>
    <t>CD</t>
  </si>
  <si>
    <t>ML</t>
  </si>
  <si>
    <t>PM</t>
  </si>
  <si>
    <t>TL</t>
  </si>
  <si>
    <t>GF</t>
  </si>
  <si>
    <t>BM</t>
  </si>
  <si>
    <t>CV</t>
  </si>
  <si>
    <t>CM</t>
  </si>
  <si>
    <t>GY</t>
  </si>
  <si>
    <t>PF</t>
  </si>
  <si>
    <t>SM</t>
  </si>
  <si>
    <t>SR</t>
  </si>
  <si>
    <t>NE</t>
  </si>
  <si>
    <t>YE</t>
  </si>
  <si>
    <t>BB</t>
  </si>
  <si>
    <t>VU</t>
  </si>
  <si>
    <t>BT</t>
  </si>
  <si>
    <t>PG</t>
  </si>
  <si>
    <t>DM</t>
  </si>
  <si>
    <t>AG</t>
  </si>
  <si>
    <t>LR</t>
  </si>
  <si>
    <t>BF</t>
  </si>
  <si>
    <t>BL</t>
  </si>
  <si>
    <t>BZ</t>
  </si>
  <si>
    <t>VI</t>
  </si>
  <si>
    <t>RW</t>
  </si>
  <si>
    <t>NA</t>
  </si>
  <si>
    <t>SD</t>
  </si>
  <si>
    <t>Russia</t>
  </si>
  <si>
    <t>RU</t>
  </si>
  <si>
    <t>SUBTOTALS BY TIER</t>
  </si>
  <si>
    <t>8 countries</t>
  </si>
  <si>
    <t>33 countries</t>
  </si>
  <si>
    <t>143 countries</t>
  </si>
  <si>
    <t>GRAND TOTAL</t>
  </si>
  <si>
    <t>All</t>
  </si>
  <si>
    <t>TOTAL EXCL RU</t>
  </si>
  <si>
    <t>All excl. Russia</t>
  </si>
  <si>
    <t>SCENARIO COMPARISON (ANNUAL)</t>
  </si>
  <si>
    <t>Scenario</t>
  </si>
  <si>
    <t>CPM Assumption</t>
  </si>
  <si>
    <t>T1 Annual ($)</t>
  </si>
  <si>
    <t>T2 Annual ($)</t>
  </si>
  <si>
    <t>T3 Annual ($)</t>
  </si>
  <si>
    <t>RU Annual ($)</t>
  </si>
  <si>
    <t>Total Ad Rev ($)</t>
  </si>
  <si>
    <t>Subs Rev ($)</t>
  </si>
  <si>
    <t>Combined ($)</t>
  </si>
  <si>
    <t>Conservative (Year 1)</t>
  </si>
  <si>
    <t>20% T1/T2, 10% T3/RU</t>
  </si>
  <si>
    <t>T1 $15 / T2 $10 / T3 $5 / RU $2</t>
  </si>
  <si>
    <t>Mid Case</t>
  </si>
  <si>
    <t>T1 $20 / T2 $15 / T3 $5 / RU $2</t>
  </si>
  <si>
    <t>100% Fill Ceiling</t>
  </si>
  <si>
    <t>100% all tiers</t>
  </si>
  <si>
    <t>ASSUMPTIONS</t>
  </si>
  <si>
    <t>Parameter</t>
  </si>
  <si>
    <t>Value</t>
  </si>
  <si>
    <t>Notes</t>
  </si>
  <si>
    <t>Ad pod max duration</t>
  </si>
  <si>
    <t>60 seconds</t>
  </si>
  <si>
    <t>Up to 60s of ads per ~45 min match</t>
  </si>
  <si>
    <t>Impressions per pod</t>
  </si>
  <si>
    <t>3</t>
  </si>
  <si>
    <t>3x20s avg creatives within a 60s pod</t>
  </si>
  <si>
    <t>Ad pods per match</t>
  </si>
  <si>
    <t>1</t>
  </si>
  <si>
    <t>1 pod per match session (= 1 pod per session)</t>
  </si>
  <si>
    <t>Monthly Sessions source</t>
  </si>
  <si>
    <t>Feb 2026 Looker/BQ</t>
  </si>
  <si>
    <t>Free users only, finished matchmaking matches</t>
  </si>
  <si>
    <t>Paid fill rate (T1/T2)</t>
  </si>
  <si>
    <t>20%</t>
  </si>
  <si>
    <t>Conservative Year 1 assumption</t>
  </si>
  <si>
    <t>Paid fill rate (T3/RU)</t>
  </si>
  <si>
    <t>10%</t>
  </si>
  <si>
    <t>Lower demand in smaller geos; Russia at $2 CPM</t>
  </si>
  <si>
    <t>House ads fill</t>
  </si>
  <si>
    <t>80%</t>
  </si>
  <si>
    <t>Unfilled pods serve subscription promotions</t>
  </si>
  <si>
    <t>Subs conversion rate</t>
  </si>
  <si>
    <t>0.05%</t>
  </si>
  <si>
    <t>Of house ad viewers</t>
  </si>
  <si>
    <t>Subs cannibalisation</t>
  </si>
  <si>
    <t>50%</t>
  </si>
  <si>
    <t>Half would have subscribed anyway</t>
  </si>
  <si>
    <t>Sub price</t>
  </si>
  <si>
    <t>$7.30/month</t>
  </si>
  <si>
    <t>FACEIT Premium monthly price</t>
  </si>
  <si>
    <t>Included at $2 CPM</t>
  </si>
  <si>
    <t>GAM limited but not fully excluded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</si>
</sst>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%"/>
    <numFmt numFmtId="166" formatCode="$#,##0"/>
  </numFmts>
  <fonts count="5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CE4D6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3" fillId="0" borderId="0" xfId="0" applyFont="1"/>
    <xf numFmtId="164" fontId="3" fillId="0" borderId="0" xfId="0" applyNumberFormat="1" applyFont="1"/>
    <xf numFmtId="165" fontId="3" fillId="0" borderId="0" xfId="0" applyNumberFormat="1" applyFont="1"/>
    <xf numFmtId="166" fontId="3" fillId="0" borderId="0" xfId="0" applyNumberFormat="1" applyFont="1"/>
    <xf numFmtId="0" fontId="4" fillId="0" borderId="2" xfId="0" applyFont="1" applyBorder="1"/>
    <xf numFmtId="0" fontId="1" fillId="3" borderId="1" xfId="0" applyFont="1" applyFill="1" applyBorder="1"/>
    <xf numFmtId="164" fontId="1" fillId="3" borderId="1" xfId="0" applyNumberFormat="1" applyFont="1" applyFill="1" applyBorder="1"/>
    <xf numFmtId="166" fontId="1" fillId="3" borderId="1" xfId="0" applyNumberFormat="1" applyFont="1" applyFill="1" applyBorder="1"/>
    <xf numFmtId="0" fontId="1" fillId="4" borderId="1" xfId="0" applyFont="1" applyFill="1" applyBorder="1"/>
    <xf numFmtId="164" fontId="1" fillId="4" borderId="1" xfId="0" applyNumberFormat="1" applyFont="1" applyFill="1" applyBorder="1"/>
    <xf numFmtId="166" fontId="1" fillId="4" borderId="1" xfId="0" applyNumberFormat="1" applyFont="1" applyFill="1" applyBorder="1"/>
    <xf numFmtId="0" fontId="1" fillId="2" borderId="1" xfId="0" applyFont="1" applyFill="1" applyBorder="1" applyAlignment="1">
      <alignment wrapText="1"/>
    </xf>
    <xf numFmtId="0" fontId="3" fillId="0" borderId="1" xfId="0" applyFont="1" applyBorder="1"/>
    <xf numFmtId="166" fontId="3" fillId="0" borderId="1" xfId="0" applyNumberFormat="1" applyFont="1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1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8.7109375" customWidth="1"/>
    <col min="2" max="2" width="6.7109375" customWidth="1"/>
    <col min="3" max="3" width="16.7109375" customWidth="1"/>
    <col min="4" max="4" width="14.7109375" customWidth="1"/>
    <col min="5" max="5" width="16.7109375" customWidth="1"/>
    <col min="6" max="6" width="18.7109375" customWidth="1"/>
    <col min="7" max="7" width="10.7109375" customWidth="1"/>
    <col min="8" max="8" width="18.7109375" customWidth="1"/>
    <col min="9" max="9" width="8.7109375" customWidth="1"/>
    <col min="10" max="12" width="18.7109375" customWidth="1"/>
    <col min="13" max="14" width="16.7109375" customWidth="1"/>
    <col min="15" max="18" width="18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 t="s">
        <v>18</v>
      </c>
      <c r="B2" s="3" t="s">
        <v>19</v>
      </c>
      <c r="C2" s="4">
        <v>1087953</v>
      </c>
      <c r="D2" s="4">
        <v>47598</v>
      </c>
      <c r="E2" s="4">
        <f>C2</f>
        <v>1087953</v>
      </c>
      <c r="F2" s="4">
        <f>E2*3</f>
        <v>3263859</v>
      </c>
      <c r="G2" s="5">
        <v>0.2</v>
      </c>
      <c r="H2" s="4">
        <f>F2*G2</f>
        <v>652771.8</v>
      </c>
      <c r="I2" s="6">
        <v>15</v>
      </c>
      <c r="J2" s="6">
        <f>H2/1000*I2</f>
        <v>9791.577000000001</v>
      </c>
      <c r="K2" s="6">
        <f>J2*12</f>
        <v>117498.92400000001</v>
      </c>
      <c r="L2" s="4">
        <f>E2*(1-G2)</f>
        <v>870362.4</v>
      </c>
      <c r="M2" s="4">
        <f>L2*0.0005</f>
        <v>435.18120000000005</v>
      </c>
      <c r="N2" s="4">
        <f>M2*0.5</f>
        <v>217.59060000000002</v>
      </c>
      <c r="O2" s="6">
        <f>N2*7.30</f>
        <v>1588.4113800000002</v>
      </c>
      <c r="P2" s="6">
        <f>O2*12</f>
        <v>19060.936560000002</v>
      </c>
      <c r="Q2" s="6">
        <f>J2+O2</f>
        <v>11379.98838</v>
      </c>
      <c r="R2" s="6">
        <f>K2+P2</f>
        <v>136559.86056</v>
      </c>
    </row>
    <row r="3" spans="1:18">
      <c r="A3" s="2" t="s">
        <v>18</v>
      </c>
      <c r="B3" s="3" t="s">
        <v>20</v>
      </c>
      <c r="C3" s="4">
        <v>547089</v>
      </c>
      <c r="D3" s="4">
        <v>36724</v>
      </c>
      <c r="E3" s="4">
        <f>C3</f>
        <v>547089</v>
      </c>
      <c r="F3" s="4">
        <f>E3*3</f>
        <v>1641267</v>
      </c>
      <c r="G3" s="5">
        <v>0.2</v>
      </c>
      <c r="H3" s="4">
        <f>F3*G3</f>
        <v>328253.4</v>
      </c>
      <c r="I3" s="6">
        <v>15</v>
      </c>
      <c r="J3" s="6">
        <f>H3/1000*I3</f>
        <v>4923.801</v>
      </c>
      <c r="K3" s="6">
        <f>J3*12</f>
        <v>59085.61200000001</v>
      </c>
      <c r="L3" s="4">
        <f>E3*(1-G3)</f>
        <v>437671.2</v>
      </c>
      <c r="M3" s="4">
        <f>L3*0.0005</f>
        <v>218.8356</v>
      </c>
      <c r="N3" s="4">
        <f>M3*0.5</f>
        <v>109.4178</v>
      </c>
      <c r="O3" s="6">
        <f>N3*7.30</f>
        <v>798.7499399999999</v>
      </c>
      <c r="P3" s="6">
        <f>O3*12</f>
        <v>9584.99928</v>
      </c>
      <c r="Q3" s="6">
        <f>J3+O3</f>
        <v>5722.55094</v>
      </c>
      <c r="R3" s="6">
        <f>K3+P3</f>
        <v>68670.61128000001</v>
      </c>
    </row>
    <row r="4" spans="1:18">
      <c r="A4" s="2" t="s">
        <v>18</v>
      </c>
      <c r="B4" s="3" t="s">
        <v>21</v>
      </c>
      <c r="C4" s="4">
        <v>417519</v>
      </c>
      <c r="D4" s="4">
        <v>23133</v>
      </c>
      <c r="E4" s="4">
        <f>C4</f>
        <v>417519</v>
      </c>
      <c r="F4" s="4">
        <f>E4*3</f>
        <v>1252557</v>
      </c>
      <c r="G4" s="5">
        <v>0.2</v>
      </c>
      <c r="H4" s="4">
        <f>F4*G4</f>
        <v>250511.40000000002</v>
      </c>
      <c r="I4" s="6">
        <v>15</v>
      </c>
      <c r="J4" s="6">
        <f>H4/1000*I4</f>
        <v>3757.6710000000007</v>
      </c>
      <c r="K4" s="6">
        <f>J4*12</f>
        <v>45092.05200000001</v>
      </c>
      <c r="L4" s="4">
        <f>E4*(1-G4)</f>
        <v>334015.2</v>
      </c>
      <c r="M4" s="4">
        <f>L4*0.0005</f>
        <v>167.0076</v>
      </c>
      <c r="N4" s="4">
        <f>M4*0.5</f>
        <v>83.5038</v>
      </c>
      <c r="O4" s="6">
        <f>N4*7.30</f>
        <v>609.57774</v>
      </c>
      <c r="P4" s="6">
        <f>O4*12</f>
        <v>7314.932879999999</v>
      </c>
      <c r="Q4" s="6">
        <f>J4+O4</f>
        <v>4367.248740000001</v>
      </c>
      <c r="R4" s="6">
        <f>K4+P4</f>
        <v>52406.98488000001</v>
      </c>
    </row>
    <row r="5" spans="1:18">
      <c r="A5" s="2" t="s">
        <v>18</v>
      </c>
      <c r="B5" s="3" t="s">
        <v>22</v>
      </c>
      <c r="C5" s="4">
        <v>360571</v>
      </c>
      <c r="D5" s="4">
        <v>18708</v>
      </c>
      <c r="E5" s="4">
        <f>C5</f>
        <v>360571</v>
      </c>
      <c r="F5" s="4">
        <f>E5*3</f>
        <v>1081713</v>
      </c>
      <c r="G5" s="5">
        <v>0.2</v>
      </c>
      <c r="H5" s="4">
        <f>F5*G5</f>
        <v>216342.6</v>
      </c>
      <c r="I5" s="6">
        <v>15</v>
      </c>
      <c r="J5" s="6">
        <f>H5/1000*I5</f>
        <v>3245.139</v>
      </c>
      <c r="K5" s="6">
        <f>J5*12</f>
        <v>38941.668000000005</v>
      </c>
      <c r="L5" s="4">
        <f>E5*(1-G5)</f>
        <v>288456.8</v>
      </c>
      <c r="M5" s="4">
        <f>L5*0.0005</f>
        <v>144.2284</v>
      </c>
      <c r="N5" s="4">
        <f>M5*0.5</f>
        <v>72.1142</v>
      </c>
      <c r="O5" s="6">
        <f>N5*7.30</f>
        <v>526.4336599999999</v>
      </c>
      <c r="P5" s="6">
        <f>O5*12</f>
        <v>6317.203919999999</v>
      </c>
      <c r="Q5" s="6">
        <f>J5+O5</f>
        <v>3771.57266</v>
      </c>
      <c r="R5" s="6">
        <f>K5+P5</f>
        <v>45258.871920000005</v>
      </c>
    </row>
    <row r="6" spans="1:18">
      <c r="A6" s="2" t="s">
        <v>18</v>
      </c>
      <c r="B6" s="3" t="s">
        <v>23</v>
      </c>
      <c r="C6" s="4">
        <v>179077</v>
      </c>
      <c r="D6" s="4">
        <v>10357</v>
      </c>
      <c r="E6" s="4">
        <f>C6</f>
        <v>179077</v>
      </c>
      <c r="F6" s="4">
        <f>E6*3</f>
        <v>537231</v>
      </c>
      <c r="G6" s="5">
        <v>0.2</v>
      </c>
      <c r="H6" s="4">
        <f>F6*G6</f>
        <v>107446.20000000001</v>
      </c>
      <c r="I6" s="6">
        <v>15</v>
      </c>
      <c r="J6" s="6">
        <f>H6/1000*I6</f>
        <v>1611.693</v>
      </c>
      <c r="K6" s="6">
        <f>J6*12</f>
        <v>19340.316</v>
      </c>
      <c r="L6" s="4">
        <f>E6*(1-G6)</f>
        <v>143261.6</v>
      </c>
      <c r="M6" s="4">
        <f>L6*0.0005</f>
        <v>71.63080000000001</v>
      </c>
      <c r="N6" s="4">
        <f>M6*0.5</f>
        <v>35.815400000000004</v>
      </c>
      <c r="O6" s="6">
        <f>N6*7.30</f>
        <v>261.45242</v>
      </c>
      <c r="P6" s="6">
        <f>O6*12</f>
        <v>3137.42904</v>
      </c>
      <c r="Q6" s="6">
        <f>J6+O6</f>
        <v>1873.14542</v>
      </c>
      <c r="R6" s="6">
        <f>K6+P6</f>
        <v>22477.745039999998</v>
      </c>
    </row>
    <row r="7" spans="1:18">
      <c r="A7" s="2" t="s">
        <v>18</v>
      </c>
      <c r="B7" s="3" t="s">
        <v>24</v>
      </c>
      <c r="C7" s="4">
        <v>137957</v>
      </c>
      <c r="D7" s="4">
        <v>8286</v>
      </c>
      <c r="E7" s="4">
        <f>C7</f>
        <v>137957</v>
      </c>
      <c r="F7" s="4">
        <f>E7*3</f>
        <v>413871</v>
      </c>
      <c r="G7" s="5">
        <v>0.2</v>
      </c>
      <c r="H7" s="4">
        <f>F7*G7</f>
        <v>82774.20000000001</v>
      </c>
      <c r="I7" s="6">
        <v>15</v>
      </c>
      <c r="J7" s="6">
        <f>H7/1000*I7</f>
        <v>1241.613</v>
      </c>
      <c r="K7" s="6">
        <f>J7*12</f>
        <v>14899.356</v>
      </c>
      <c r="L7" s="4">
        <f>E7*(1-G7)</f>
        <v>110365.6</v>
      </c>
      <c r="M7" s="4">
        <f>L7*0.0005</f>
        <v>55.18280000000001</v>
      </c>
      <c r="N7" s="4">
        <f>M7*0.5</f>
        <v>27.591400000000004</v>
      </c>
      <c r="O7" s="6">
        <f>N7*7.30</f>
        <v>201.41722000000001</v>
      </c>
      <c r="P7" s="6">
        <f>O7*12</f>
        <v>2417.00664</v>
      </c>
      <c r="Q7" s="6">
        <f>J7+O7</f>
        <v>1443.03022</v>
      </c>
      <c r="R7" s="6">
        <f>K7+P7</f>
        <v>17316.36264</v>
      </c>
    </row>
    <row r="8" spans="1:18">
      <c r="A8" s="2" t="s">
        <v>18</v>
      </c>
      <c r="B8" s="3" t="s">
        <v>25</v>
      </c>
      <c r="C8" s="4">
        <v>97028</v>
      </c>
      <c r="D8" s="4">
        <v>4241</v>
      </c>
      <c r="E8" s="4">
        <f>C8</f>
        <v>97028</v>
      </c>
      <c r="F8" s="4">
        <f>E8*3</f>
        <v>291084</v>
      </c>
      <c r="G8" s="5">
        <v>0.2</v>
      </c>
      <c r="H8" s="4">
        <f>F8*G8</f>
        <v>58216.8</v>
      </c>
      <c r="I8" s="6">
        <v>15</v>
      </c>
      <c r="J8" s="6">
        <f>H8/1000*I8</f>
        <v>873.2520000000001</v>
      </c>
      <c r="K8" s="6">
        <f>J8*12</f>
        <v>10479.024000000001</v>
      </c>
      <c r="L8" s="4">
        <f>E8*(1-G8)</f>
        <v>77622.40000000001</v>
      </c>
      <c r="M8" s="4">
        <f>L8*0.0005</f>
        <v>38.81120000000001</v>
      </c>
      <c r="N8" s="4">
        <f>M8*0.5</f>
        <v>19.405600000000003</v>
      </c>
      <c r="O8" s="6">
        <f>N8*7.30</f>
        <v>141.66088000000002</v>
      </c>
      <c r="P8" s="6">
        <f>O8*12</f>
        <v>1699.9305600000002</v>
      </c>
      <c r="Q8" s="6">
        <f>J8+O8</f>
        <v>1014.9128800000001</v>
      </c>
      <c r="R8" s="6">
        <f>K8+P8</f>
        <v>12178.954560000002</v>
      </c>
    </row>
    <row r="9" spans="1:18">
      <c r="A9" s="2" t="s">
        <v>18</v>
      </c>
      <c r="B9" s="3" t="s">
        <v>26</v>
      </c>
      <c r="C9" s="4">
        <v>76411</v>
      </c>
      <c r="D9" s="4">
        <v>5202</v>
      </c>
      <c r="E9" s="4">
        <f>C9</f>
        <v>76411</v>
      </c>
      <c r="F9" s="4">
        <f>E9*3</f>
        <v>229233</v>
      </c>
      <c r="G9" s="5">
        <v>0.2</v>
      </c>
      <c r="H9" s="4">
        <f>F9*G9</f>
        <v>45846.600000000006</v>
      </c>
      <c r="I9" s="6">
        <v>15</v>
      </c>
      <c r="J9" s="6">
        <f>H9/1000*I9</f>
        <v>687.6990000000002</v>
      </c>
      <c r="K9" s="6">
        <f>J9*12</f>
        <v>8252.388000000003</v>
      </c>
      <c r="L9" s="4">
        <f>E9*(1-G9)</f>
        <v>61128.8</v>
      </c>
      <c r="M9" s="4">
        <f>L9*0.0005</f>
        <v>30.564400000000003</v>
      </c>
      <c r="N9" s="4">
        <f>M9*0.5</f>
        <v>15.282200000000001</v>
      </c>
      <c r="O9" s="6">
        <f>N9*7.30</f>
        <v>111.56006000000001</v>
      </c>
      <c r="P9" s="6">
        <f>O9*12</f>
        <v>1338.72072</v>
      </c>
      <c r="Q9" s="6">
        <f>J9+O9</f>
        <v>799.2590600000002</v>
      </c>
      <c r="R9" s="6">
        <f>K9+P9</f>
        <v>9591.108720000002</v>
      </c>
    </row>
    <row r="10" spans="1:18">
      <c r="A10" s="2" t="s">
        <v>27</v>
      </c>
      <c r="B10" s="3" t="s">
        <v>28</v>
      </c>
      <c r="C10" s="4">
        <v>3442222</v>
      </c>
      <c r="D10" s="4">
        <v>147427</v>
      </c>
      <c r="E10" s="4">
        <f>C10</f>
        <v>3442222</v>
      </c>
      <c r="F10" s="4">
        <f>E10*3</f>
        <v>10326666</v>
      </c>
      <c r="G10" s="5">
        <v>0.2</v>
      </c>
      <c r="H10" s="4">
        <f>F10*G10</f>
        <v>2065333.2000000002</v>
      </c>
      <c r="I10" s="6">
        <v>10</v>
      </c>
      <c r="J10" s="6">
        <f>H10/1000*I10</f>
        <v>20653.332000000002</v>
      </c>
      <c r="K10" s="6">
        <f>J10*12</f>
        <v>247839.98400000003</v>
      </c>
      <c r="L10" s="4">
        <f>E10*(1-G10)</f>
        <v>2753777.6</v>
      </c>
      <c r="M10" s="4">
        <f>L10*0.0005</f>
        <v>1376.8888000000002</v>
      </c>
      <c r="N10" s="4">
        <f>M10*0.5</f>
        <v>688.4444000000001</v>
      </c>
      <c r="O10" s="6">
        <f>N10*7.30</f>
        <v>5025.644120000001</v>
      </c>
      <c r="P10" s="6">
        <f>O10*12</f>
        <v>60307.72944000001</v>
      </c>
      <c r="Q10" s="6">
        <f>J10+O10</f>
        <v>25678.976120000003</v>
      </c>
      <c r="R10" s="6">
        <f>K10+P10</f>
        <v>308147.71344</v>
      </c>
    </row>
    <row r="11" spans="1:18">
      <c r="A11" s="2" t="s">
        <v>27</v>
      </c>
      <c r="B11" s="3" t="s">
        <v>29</v>
      </c>
      <c r="C11" s="4">
        <v>1057246</v>
      </c>
      <c r="D11" s="4">
        <v>43764</v>
      </c>
      <c r="E11" s="4">
        <f>C11</f>
        <v>1057246</v>
      </c>
      <c r="F11" s="4">
        <f>E11*3</f>
        <v>3171738</v>
      </c>
      <c r="G11" s="5">
        <v>0.2</v>
      </c>
      <c r="H11" s="4">
        <f>F11*G11</f>
        <v>634347.6000000001</v>
      </c>
      <c r="I11" s="6">
        <v>10</v>
      </c>
      <c r="J11" s="6">
        <f>H11/1000*I11</f>
        <v>6343.476000000001</v>
      </c>
      <c r="K11" s="6">
        <f>J11*12</f>
        <v>76121.712</v>
      </c>
      <c r="L11" s="4">
        <f>E11*(1-G11)</f>
        <v>845796.8</v>
      </c>
      <c r="M11" s="4">
        <f>L11*0.0005</f>
        <v>422.89840000000004</v>
      </c>
      <c r="N11" s="4">
        <f>M11*0.5</f>
        <v>211.44920000000002</v>
      </c>
      <c r="O11" s="6">
        <f>N11*7.30</f>
        <v>1543.57916</v>
      </c>
      <c r="P11" s="6">
        <f>O11*12</f>
        <v>18522.94992</v>
      </c>
      <c r="Q11" s="6">
        <f>J11+O11</f>
        <v>7887.055160000001</v>
      </c>
      <c r="R11" s="6">
        <f>K11+P11</f>
        <v>94644.66192</v>
      </c>
    </row>
    <row r="12" spans="1:18">
      <c r="A12" s="2" t="s">
        <v>27</v>
      </c>
      <c r="B12" s="3" t="s">
        <v>30</v>
      </c>
      <c r="C12" s="4">
        <v>611110</v>
      </c>
      <c r="D12" s="4">
        <v>26895</v>
      </c>
      <c r="E12" s="4">
        <f>C12</f>
        <v>611110</v>
      </c>
      <c r="F12" s="4">
        <f>E12*3</f>
        <v>1833330</v>
      </c>
      <c r="G12" s="5">
        <v>0.2</v>
      </c>
      <c r="H12" s="4">
        <f>F12*G12</f>
        <v>366666.0</v>
      </c>
      <c r="I12" s="6">
        <v>10</v>
      </c>
      <c r="J12" s="6">
        <f>H12/1000*I12</f>
        <v>3666.66</v>
      </c>
      <c r="K12" s="6">
        <f>J12*12</f>
        <v>43999.92</v>
      </c>
      <c r="L12" s="4">
        <f>E12*(1-G12)</f>
        <v>488888.0</v>
      </c>
      <c r="M12" s="4">
        <f>L12*0.0005</f>
        <v>244.44400000000002</v>
      </c>
      <c r="N12" s="4">
        <f>M12*0.5</f>
        <v>122.22200000000001</v>
      </c>
      <c r="O12" s="6">
        <f>N12*7.30</f>
        <v>892.2206</v>
      </c>
      <c r="P12" s="6">
        <f>O12*12</f>
        <v>10706.6472</v>
      </c>
      <c r="Q12" s="6">
        <f>J12+O12</f>
        <v>4558.8805999999995</v>
      </c>
      <c r="R12" s="6">
        <f>K12+P12</f>
        <v>54706.5672</v>
      </c>
    </row>
    <row r="13" spans="1:18">
      <c r="A13" s="2" t="s">
        <v>27</v>
      </c>
      <c r="B13" s="3" t="s">
        <v>31</v>
      </c>
      <c r="C13" s="4">
        <v>591627</v>
      </c>
      <c r="D13" s="4">
        <v>27153</v>
      </c>
      <c r="E13" s="4">
        <f>C13</f>
        <v>591627</v>
      </c>
      <c r="F13" s="4">
        <f>E13*3</f>
        <v>1774881</v>
      </c>
      <c r="G13" s="5">
        <v>0.2</v>
      </c>
      <c r="H13" s="4">
        <f>F13*G13</f>
        <v>354976.2</v>
      </c>
      <c r="I13" s="6">
        <v>10</v>
      </c>
      <c r="J13" s="6">
        <f>H13/1000*I13</f>
        <v>3549.762</v>
      </c>
      <c r="K13" s="6">
        <f>J13*12</f>
        <v>42597.144</v>
      </c>
      <c r="L13" s="4">
        <f>E13*(1-G13)</f>
        <v>473301.60000000003</v>
      </c>
      <c r="M13" s="4">
        <f>L13*0.0005</f>
        <v>236.65080000000003</v>
      </c>
      <c r="N13" s="4">
        <f>M13*0.5</f>
        <v>118.32540000000002</v>
      </c>
      <c r="O13" s="6">
        <f>N13*7.30</f>
        <v>863.77542</v>
      </c>
      <c r="P13" s="6">
        <f>O13*12</f>
        <v>10365.305040000001</v>
      </c>
      <c r="Q13" s="6">
        <f>J13+O13</f>
        <v>4413.537420000001</v>
      </c>
      <c r="R13" s="6">
        <f>K13+P13</f>
        <v>52962.44904</v>
      </c>
    </row>
    <row r="14" spans="1:18">
      <c r="A14" s="2" t="s">
        <v>27</v>
      </c>
      <c r="B14" s="3" t="s">
        <v>32</v>
      </c>
      <c r="C14" s="4">
        <v>546827</v>
      </c>
      <c r="D14" s="4">
        <v>19161</v>
      </c>
      <c r="E14" s="4">
        <f>C14</f>
        <v>546827</v>
      </c>
      <c r="F14" s="4">
        <f>E14*3</f>
        <v>1640481</v>
      </c>
      <c r="G14" s="5">
        <v>0.2</v>
      </c>
      <c r="H14" s="4">
        <f>F14*G14</f>
        <v>328096.2</v>
      </c>
      <c r="I14" s="6">
        <v>10</v>
      </c>
      <c r="J14" s="6">
        <f>H14/1000*I14</f>
        <v>3280.962</v>
      </c>
      <c r="K14" s="6">
        <f>J14*12</f>
        <v>39371.544</v>
      </c>
      <c r="L14" s="4">
        <f>E14*(1-G14)</f>
        <v>437461.60000000003</v>
      </c>
      <c r="M14" s="4">
        <f>L14*0.0005</f>
        <v>218.73080000000002</v>
      </c>
      <c r="N14" s="4">
        <f>M14*0.5</f>
        <v>109.36540000000001</v>
      </c>
      <c r="O14" s="6">
        <f>N14*7.30</f>
        <v>798.36742</v>
      </c>
      <c r="P14" s="6">
        <f>O14*12</f>
        <v>9580.40904</v>
      </c>
      <c r="Q14" s="6">
        <f>J14+O14</f>
        <v>4079.32942</v>
      </c>
      <c r="R14" s="6">
        <f>K14+P14</f>
        <v>48951.95304</v>
      </c>
    </row>
    <row r="15" spans="1:18">
      <c r="A15" s="2" t="s">
        <v>27</v>
      </c>
      <c r="B15" s="3" t="s">
        <v>33</v>
      </c>
      <c r="C15" s="4">
        <v>436414</v>
      </c>
      <c r="D15" s="4">
        <v>22496</v>
      </c>
      <c r="E15" s="4">
        <f>C15</f>
        <v>436414</v>
      </c>
      <c r="F15" s="4">
        <f>E15*3</f>
        <v>1309242</v>
      </c>
      <c r="G15" s="5">
        <v>0.2</v>
      </c>
      <c r="H15" s="4">
        <f>F15*G15</f>
        <v>261848.40000000002</v>
      </c>
      <c r="I15" s="6">
        <v>10</v>
      </c>
      <c r="J15" s="6">
        <f>H15/1000*I15</f>
        <v>2618.4840000000004</v>
      </c>
      <c r="K15" s="6">
        <f>J15*12</f>
        <v>31421.808000000005</v>
      </c>
      <c r="L15" s="4">
        <f>E15*(1-G15)</f>
        <v>349131.2</v>
      </c>
      <c r="M15" s="4">
        <f>L15*0.0005</f>
        <v>174.56560000000002</v>
      </c>
      <c r="N15" s="4">
        <f>M15*0.5</f>
        <v>87.28280000000001</v>
      </c>
      <c r="O15" s="6">
        <f>N15*7.30</f>
        <v>637.16444</v>
      </c>
      <c r="P15" s="6">
        <f>O15*12</f>
        <v>7645.97328</v>
      </c>
      <c r="Q15" s="6">
        <f>J15+O15</f>
        <v>3255.6484400000004</v>
      </c>
      <c r="R15" s="6">
        <f>K15+P15</f>
        <v>39067.78128</v>
      </c>
    </row>
    <row r="16" spans="1:18">
      <c r="A16" s="2" t="s">
        <v>27</v>
      </c>
      <c r="B16" s="3" t="s">
        <v>34</v>
      </c>
      <c r="C16" s="4">
        <v>420615</v>
      </c>
      <c r="D16" s="4">
        <v>21161</v>
      </c>
      <c r="E16" s="4">
        <f>C16</f>
        <v>420615</v>
      </c>
      <c r="F16" s="4">
        <f>E16*3</f>
        <v>1261845</v>
      </c>
      <c r="G16" s="5">
        <v>0.2</v>
      </c>
      <c r="H16" s="4">
        <f>F16*G16</f>
        <v>252369.0</v>
      </c>
      <c r="I16" s="6">
        <v>10</v>
      </c>
      <c r="J16" s="6">
        <f>H16/1000*I16</f>
        <v>2523.69</v>
      </c>
      <c r="K16" s="6">
        <f>J16*12</f>
        <v>30284.28</v>
      </c>
      <c r="L16" s="4">
        <f>E16*(1-G16)</f>
        <v>336492.0</v>
      </c>
      <c r="M16" s="4">
        <f>L16*0.0005</f>
        <v>168.246</v>
      </c>
      <c r="N16" s="4">
        <f>M16*0.5</f>
        <v>84.123</v>
      </c>
      <c r="O16" s="6">
        <f>N16*7.30</f>
        <v>614.0979</v>
      </c>
      <c r="P16" s="6">
        <f>O16*12</f>
        <v>7369.1748</v>
      </c>
      <c r="Q16" s="6">
        <f>J16+O16</f>
        <v>3137.7879000000003</v>
      </c>
      <c r="R16" s="6">
        <f>K16+P16</f>
        <v>37653.4548</v>
      </c>
    </row>
    <row r="17" spans="1:18">
      <c r="A17" s="2" t="s">
        <v>27</v>
      </c>
      <c r="B17" s="3" t="s">
        <v>35</v>
      </c>
      <c r="C17" s="4">
        <v>342008</v>
      </c>
      <c r="D17" s="4">
        <v>12199</v>
      </c>
      <c r="E17" s="4">
        <f>C17</f>
        <v>342008</v>
      </c>
      <c r="F17" s="4">
        <f>E17*3</f>
        <v>1026024</v>
      </c>
      <c r="G17" s="5">
        <v>0.2</v>
      </c>
      <c r="H17" s="4">
        <f>F17*G17</f>
        <v>205204.80000000002</v>
      </c>
      <c r="I17" s="6">
        <v>10</v>
      </c>
      <c r="J17" s="6">
        <f>H17/1000*I17</f>
        <v>2052.0480000000002</v>
      </c>
      <c r="K17" s="6">
        <f>J17*12</f>
        <v>24624.576</v>
      </c>
      <c r="L17" s="4">
        <f>E17*(1-G17)</f>
        <v>273606.4</v>
      </c>
      <c r="M17" s="4">
        <f>L17*0.0005</f>
        <v>136.8032</v>
      </c>
      <c r="N17" s="4">
        <f>M17*0.5</f>
        <v>68.4016</v>
      </c>
      <c r="O17" s="6">
        <f>N17*7.30</f>
        <v>499.33168</v>
      </c>
      <c r="P17" s="6">
        <f>O17*12</f>
        <v>5991.98016</v>
      </c>
      <c r="Q17" s="6">
        <f>J17+O17</f>
        <v>2551.37968</v>
      </c>
      <c r="R17" s="6">
        <f>K17+P17</f>
        <v>30616.55616</v>
      </c>
    </row>
    <row r="18" spans="1:18">
      <c r="A18" s="2" t="s">
        <v>27</v>
      </c>
      <c r="B18" s="3" t="s">
        <v>36</v>
      </c>
      <c r="C18" s="4">
        <v>266877</v>
      </c>
      <c r="D18" s="4">
        <v>11636</v>
      </c>
      <c r="E18" s="4">
        <f>C18</f>
        <v>266877</v>
      </c>
      <c r="F18" s="4">
        <f>E18*3</f>
        <v>800631</v>
      </c>
      <c r="G18" s="5">
        <v>0.2</v>
      </c>
      <c r="H18" s="4">
        <f>F18*G18</f>
        <v>160126.2</v>
      </c>
      <c r="I18" s="6">
        <v>10</v>
      </c>
      <c r="J18" s="6">
        <f>H18/1000*I18</f>
        <v>1601.2620000000002</v>
      </c>
      <c r="K18" s="6">
        <f>J18*12</f>
        <v>19215.144</v>
      </c>
      <c r="L18" s="4">
        <f>E18*(1-G18)</f>
        <v>213501.6</v>
      </c>
      <c r="M18" s="4">
        <f>L18*0.0005</f>
        <v>106.7508</v>
      </c>
      <c r="N18" s="4">
        <f>M18*0.5</f>
        <v>53.3754</v>
      </c>
      <c r="O18" s="6">
        <f>N18*7.30</f>
        <v>389.64042</v>
      </c>
      <c r="P18" s="6">
        <f>O18*12</f>
        <v>4675.68504</v>
      </c>
      <c r="Q18" s="6">
        <f>J18+O18</f>
        <v>1990.9024200000001</v>
      </c>
      <c r="R18" s="6">
        <f>K18+P18</f>
        <v>23890.82904</v>
      </c>
    </row>
    <row r="19" spans="1:18">
      <c r="A19" s="2" t="s">
        <v>27</v>
      </c>
      <c r="B19" s="3" t="s">
        <v>37</v>
      </c>
      <c r="C19" s="4">
        <v>248215</v>
      </c>
      <c r="D19" s="4">
        <v>13905</v>
      </c>
      <c r="E19" s="4">
        <f>C19</f>
        <v>248215</v>
      </c>
      <c r="F19" s="4">
        <f>E19*3</f>
        <v>744645</v>
      </c>
      <c r="G19" s="5">
        <v>0.2</v>
      </c>
      <c r="H19" s="4">
        <f>F19*G19</f>
        <v>148929.0</v>
      </c>
      <c r="I19" s="6">
        <v>10</v>
      </c>
      <c r="J19" s="6">
        <f>H19/1000*I19</f>
        <v>1489.29</v>
      </c>
      <c r="K19" s="6">
        <f>J19*12</f>
        <v>17871.48</v>
      </c>
      <c r="L19" s="4">
        <f>E19*(1-G19)</f>
        <v>198572.0</v>
      </c>
      <c r="M19" s="4">
        <f>L19*0.0005</f>
        <v>99.286</v>
      </c>
      <c r="N19" s="4">
        <f>M19*0.5</f>
        <v>49.643</v>
      </c>
      <c r="O19" s="6">
        <f>N19*7.30</f>
        <v>362.3939</v>
      </c>
      <c r="P19" s="6">
        <f>O19*12</f>
        <v>4348.7267999999995</v>
      </c>
      <c r="Q19" s="6">
        <f>J19+O19</f>
        <v>1851.6839</v>
      </c>
      <c r="R19" s="6">
        <f>K19+P19</f>
        <v>22220.2068</v>
      </c>
    </row>
    <row r="20" spans="1:18">
      <c r="A20" s="2" t="s">
        <v>27</v>
      </c>
      <c r="B20" s="3" t="s">
        <v>38</v>
      </c>
      <c r="C20" s="4">
        <v>208738</v>
      </c>
      <c r="D20" s="4">
        <v>8712</v>
      </c>
      <c r="E20" s="4">
        <f>C20</f>
        <v>208738</v>
      </c>
      <c r="F20" s="4">
        <f>E20*3</f>
        <v>626214</v>
      </c>
      <c r="G20" s="5">
        <v>0.2</v>
      </c>
      <c r="H20" s="4">
        <f>F20*G20</f>
        <v>125242.8</v>
      </c>
      <c r="I20" s="6">
        <v>10</v>
      </c>
      <c r="J20" s="6">
        <f>H20/1000*I20</f>
        <v>1252.428</v>
      </c>
      <c r="K20" s="6">
        <f>J20*12</f>
        <v>15029.136000000002</v>
      </c>
      <c r="L20" s="4">
        <f>E20*(1-G20)</f>
        <v>166990.40000000002</v>
      </c>
      <c r="M20" s="4">
        <f>L20*0.0005</f>
        <v>83.49520000000001</v>
      </c>
      <c r="N20" s="4">
        <f>M20*0.5</f>
        <v>41.747600000000006</v>
      </c>
      <c r="O20" s="6">
        <f>N20*7.30</f>
        <v>304.75748000000004</v>
      </c>
      <c r="P20" s="6">
        <f>O20*12</f>
        <v>3657.0897600000008</v>
      </c>
      <c r="Q20" s="6">
        <f>J20+O20</f>
        <v>1557.18548</v>
      </c>
      <c r="R20" s="6">
        <f>K20+P20</f>
        <v>18686.22576</v>
      </c>
    </row>
    <row r="21" spans="1:18">
      <c r="A21" s="2" t="s">
        <v>27</v>
      </c>
      <c r="B21" s="3" t="s">
        <v>39</v>
      </c>
      <c r="C21" s="4">
        <v>147643</v>
      </c>
      <c r="D21" s="4">
        <v>7895</v>
      </c>
      <c r="E21" s="4">
        <f>C21</f>
        <v>147643</v>
      </c>
      <c r="F21" s="4">
        <f>E21*3</f>
        <v>442929</v>
      </c>
      <c r="G21" s="5">
        <v>0.2</v>
      </c>
      <c r="H21" s="4">
        <f>F21*G21</f>
        <v>88585.8</v>
      </c>
      <c r="I21" s="6">
        <v>10</v>
      </c>
      <c r="J21" s="6">
        <f>H21/1000*I21</f>
        <v>885.8580000000001</v>
      </c>
      <c r="K21" s="6">
        <f>J21*12</f>
        <v>10630.296</v>
      </c>
      <c r="L21" s="4">
        <f>E21*(1-G21)</f>
        <v>118114.40000000001</v>
      </c>
      <c r="M21" s="4">
        <f>L21*0.0005</f>
        <v>59.05720000000001</v>
      </c>
      <c r="N21" s="4">
        <f>M21*0.5</f>
        <v>29.528600000000004</v>
      </c>
      <c r="O21" s="6">
        <f>N21*7.30</f>
        <v>215.55878</v>
      </c>
      <c r="P21" s="6">
        <f>O21*12</f>
        <v>2586.70536</v>
      </c>
      <c r="Q21" s="6">
        <f>J21+O21</f>
        <v>1101.41678</v>
      </c>
      <c r="R21" s="6">
        <f>K21+P21</f>
        <v>13217.00136</v>
      </c>
    </row>
    <row r="22" spans="1:18">
      <c r="A22" s="2" t="s">
        <v>27</v>
      </c>
      <c r="B22" s="3" t="s">
        <v>40</v>
      </c>
      <c r="C22" s="4">
        <v>136721</v>
      </c>
      <c r="D22" s="4">
        <v>8384</v>
      </c>
      <c r="E22" s="4">
        <f>C22</f>
        <v>136721</v>
      </c>
      <c r="F22" s="4">
        <f>E22*3</f>
        <v>410163</v>
      </c>
      <c r="G22" s="5">
        <v>0.2</v>
      </c>
      <c r="H22" s="4">
        <f>F22*G22</f>
        <v>82032.6</v>
      </c>
      <c r="I22" s="6">
        <v>10</v>
      </c>
      <c r="J22" s="6">
        <f>H22/1000*I22</f>
        <v>820.326</v>
      </c>
      <c r="K22" s="6">
        <f>J22*12</f>
        <v>9843.912</v>
      </c>
      <c r="L22" s="4">
        <f>E22*(1-G22)</f>
        <v>109376.8</v>
      </c>
      <c r="M22" s="4">
        <f>L22*0.0005</f>
        <v>54.6884</v>
      </c>
      <c r="N22" s="4">
        <f>M22*0.5</f>
        <v>27.3442</v>
      </c>
      <c r="O22" s="6">
        <f>N22*7.30</f>
        <v>199.61266</v>
      </c>
      <c r="P22" s="6">
        <f>O22*12</f>
        <v>2395.35192</v>
      </c>
      <c r="Q22" s="6">
        <f>J22+O22</f>
        <v>1019.93866</v>
      </c>
      <c r="R22" s="6">
        <f>K22+P22</f>
        <v>12239.263920000001</v>
      </c>
    </row>
    <row r="23" spans="1:18">
      <c r="A23" s="2" t="s">
        <v>27</v>
      </c>
      <c r="B23" s="3" t="s">
        <v>41</v>
      </c>
      <c r="C23" s="4">
        <v>123556</v>
      </c>
      <c r="D23" s="4">
        <v>5705</v>
      </c>
      <c r="E23" s="4">
        <f>C23</f>
        <v>123556</v>
      </c>
      <c r="F23" s="4">
        <f>E23*3</f>
        <v>370668</v>
      </c>
      <c r="G23" s="5">
        <v>0.2</v>
      </c>
      <c r="H23" s="4">
        <f>F23*G23</f>
        <v>74133.6</v>
      </c>
      <c r="I23" s="6">
        <v>10</v>
      </c>
      <c r="J23" s="6">
        <f>H23/1000*I23</f>
        <v>741.336</v>
      </c>
      <c r="K23" s="6">
        <f>J23*12</f>
        <v>8896.032</v>
      </c>
      <c r="L23" s="4">
        <f>E23*(1-G23)</f>
        <v>98844.8</v>
      </c>
      <c r="M23" s="4">
        <f>L23*0.0005</f>
        <v>49.4224</v>
      </c>
      <c r="N23" s="4">
        <f>M23*0.5</f>
        <v>24.7112</v>
      </c>
      <c r="O23" s="6">
        <f>N23*7.30</f>
        <v>180.39176</v>
      </c>
      <c r="P23" s="6">
        <f>O23*12</f>
        <v>2164.70112</v>
      </c>
      <c r="Q23" s="6">
        <f>J23+O23</f>
        <v>921.72776</v>
      </c>
      <c r="R23" s="6">
        <f>K23+P23</f>
        <v>11060.733119999999</v>
      </c>
    </row>
    <row r="24" spans="1:18">
      <c r="A24" s="2" t="s">
        <v>27</v>
      </c>
      <c r="B24" s="3" t="s">
        <v>42</v>
      </c>
      <c r="C24" s="4">
        <v>122241</v>
      </c>
      <c r="D24" s="4">
        <v>7151</v>
      </c>
      <c r="E24" s="4">
        <f>C24</f>
        <v>122241</v>
      </c>
      <c r="F24" s="4">
        <f>E24*3</f>
        <v>366723</v>
      </c>
      <c r="G24" s="5">
        <v>0.2</v>
      </c>
      <c r="H24" s="4">
        <f>F24*G24</f>
        <v>73344.6</v>
      </c>
      <c r="I24" s="6">
        <v>10</v>
      </c>
      <c r="J24" s="6">
        <f>H24/1000*I24</f>
        <v>733.446</v>
      </c>
      <c r="K24" s="6">
        <f>J24*12</f>
        <v>8801.352</v>
      </c>
      <c r="L24" s="4">
        <f>E24*(1-G24)</f>
        <v>97792.8</v>
      </c>
      <c r="M24" s="4">
        <f>L24*0.0005</f>
        <v>48.8964</v>
      </c>
      <c r="N24" s="4">
        <f>M24*0.5</f>
        <v>24.4482</v>
      </c>
      <c r="O24" s="6">
        <f>N24*7.30</f>
        <v>178.47186</v>
      </c>
      <c r="P24" s="6">
        <f>O24*12</f>
        <v>2141.66232</v>
      </c>
      <c r="Q24" s="6">
        <f>J24+O24</f>
        <v>911.91786</v>
      </c>
      <c r="R24" s="6">
        <f>K24+P24</f>
        <v>10943.01432</v>
      </c>
    </row>
    <row r="25" spans="1:18">
      <c r="A25" s="2" t="s">
        <v>27</v>
      </c>
      <c r="B25" s="3" t="s">
        <v>43</v>
      </c>
      <c r="C25" s="4">
        <v>108215</v>
      </c>
      <c r="D25" s="4">
        <v>5052</v>
      </c>
      <c r="E25" s="4">
        <f>C25</f>
        <v>108215</v>
      </c>
      <c r="F25" s="4">
        <f>E25*3</f>
        <v>324645</v>
      </c>
      <c r="G25" s="5">
        <v>0.2</v>
      </c>
      <c r="H25" s="4">
        <f>F25*G25</f>
        <v>64929.0</v>
      </c>
      <c r="I25" s="6">
        <v>10</v>
      </c>
      <c r="J25" s="6">
        <f>H25/1000*I25</f>
        <v>649.29</v>
      </c>
      <c r="K25" s="6">
        <f>J25*12</f>
        <v>7791.48</v>
      </c>
      <c r="L25" s="4">
        <f>E25*(1-G25)</f>
        <v>86572.0</v>
      </c>
      <c r="M25" s="4">
        <f>L25*0.0005</f>
        <v>43.286</v>
      </c>
      <c r="N25" s="4">
        <f>M25*0.5</f>
        <v>21.643</v>
      </c>
      <c r="O25" s="6">
        <f>N25*7.30</f>
        <v>157.9939</v>
      </c>
      <c r="P25" s="6">
        <f>O25*12</f>
        <v>1895.9268</v>
      </c>
      <c r="Q25" s="6">
        <f>J25+O25</f>
        <v>807.2838999999999</v>
      </c>
      <c r="R25" s="6">
        <f>K25+P25</f>
        <v>9687.406799999999</v>
      </c>
    </row>
    <row r="26" spans="1:18">
      <c r="A26" s="2" t="s">
        <v>27</v>
      </c>
      <c r="B26" s="3" t="s">
        <v>44</v>
      </c>
      <c r="C26" s="4">
        <v>100824</v>
      </c>
      <c r="D26" s="4">
        <v>4501</v>
      </c>
      <c r="E26" s="4">
        <f>C26</f>
        <v>100824</v>
      </c>
      <c r="F26" s="4">
        <f>E26*3</f>
        <v>302472</v>
      </c>
      <c r="G26" s="5">
        <v>0.2</v>
      </c>
      <c r="H26" s="4">
        <f>F26*G26</f>
        <v>60494.4</v>
      </c>
      <c r="I26" s="6">
        <v>10</v>
      </c>
      <c r="J26" s="6">
        <f>H26/1000*I26</f>
        <v>604.944</v>
      </c>
      <c r="K26" s="6">
        <f>J26*12</f>
        <v>7259.3279999999995</v>
      </c>
      <c r="L26" s="4">
        <f>E26*(1-G26)</f>
        <v>80659.20000000001</v>
      </c>
      <c r="M26" s="4">
        <f>L26*0.0005</f>
        <v>40.329600000000006</v>
      </c>
      <c r="N26" s="4">
        <f>M26*0.5</f>
        <v>20.164800000000003</v>
      </c>
      <c r="O26" s="6">
        <f>N26*7.30</f>
        <v>147.20304000000002</v>
      </c>
      <c r="P26" s="6">
        <f>O26*12</f>
        <v>1766.4364800000003</v>
      </c>
      <c r="Q26" s="6">
        <f>J26+O26</f>
        <v>752.14704</v>
      </c>
      <c r="R26" s="6">
        <f>K26+P26</f>
        <v>9025.76448</v>
      </c>
    </row>
    <row r="27" spans="1:18">
      <c r="A27" s="2" t="s">
        <v>27</v>
      </c>
      <c r="B27" s="3" t="s">
        <v>45</v>
      </c>
      <c r="C27" s="4">
        <v>97179</v>
      </c>
      <c r="D27" s="4">
        <v>4987</v>
      </c>
      <c r="E27" s="4">
        <f>C27</f>
        <v>97179</v>
      </c>
      <c r="F27" s="4">
        <f>E27*3</f>
        <v>291537</v>
      </c>
      <c r="G27" s="5">
        <v>0.2</v>
      </c>
      <c r="H27" s="4">
        <f>F27*G27</f>
        <v>58307.4</v>
      </c>
      <c r="I27" s="6">
        <v>10</v>
      </c>
      <c r="J27" s="6">
        <f>H27/1000*I27</f>
        <v>583.0740000000001</v>
      </c>
      <c r="K27" s="6">
        <f>J27*12</f>
        <v>6996.888000000001</v>
      </c>
      <c r="L27" s="4">
        <f>E27*(1-G27)</f>
        <v>77743.2</v>
      </c>
      <c r="M27" s="4">
        <f>L27*0.0005</f>
        <v>38.8716</v>
      </c>
      <c r="N27" s="4">
        <f>M27*0.5</f>
        <v>19.4358</v>
      </c>
      <c r="O27" s="6">
        <f>N27*7.30</f>
        <v>141.88134</v>
      </c>
      <c r="P27" s="6">
        <f>O27*12</f>
        <v>1702.5760799999998</v>
      </c>
      <c r="Q27" s="6">
        <f>J27+O27</f>
        <v>724.9553400000001</v>
      </c>
      <c r="R27" s="6">
        <f>K27+P27</f>
        <v>8699.464080000002</v>
      </c>
    </row>
    <row r="28" spans="1:18">
      <c r="A28" s="2" t="s">
        <v>27</v>
      </c>
      <c r="B28" s="3" t="s">
        <v>46</v>
      </c>
      <c r="C28" s="4">
        <v>76206</v>
      </c>
      <c r="D28" s="4">
        <v>3197</v>
      </c>
      <c r="E28" s="4">
        <f>C28</f>
        <v>76206</v>
      </c>
      <c r="F28" s="4">
        <f>E28*3</f>
        <v>228618</v>
      </c>
      <c r="G28" s="5">
        <v>0.2</v>
      </c>
      <c r="H28" s="4">
        <f>F28*G28</f>
        <v>45723.600000000006</v>
      </c>
      <c r="I28" s="6">
        <v>10</v>
      </c>
      <c r="J28" s="6">
        <f>H28/1000*I28</f>
        <v>457.23600000000005</v>
      </c>
      <c r="K28" s="6">
        <f>J28*12</f>
        <v>5486.832</v>
      </c>
      <c r="L28" s="4">
        <f>E28*(1-G28)</f>
        <v>60964.8</v>
      </c>
      <c r="M28" s="4">
        <f>L28*0.0005</f>
        <v>30.482400000000002</v>
      </c>
      <c r="N28" s="4">
        <f>M28*0.5</f>
        <v>15.241200000000001</v>
      </c>
      <c r="O28" s="6">
        <f>N28*7.30</f>
        <v>111.26076</v>
      </c>
      <c r="P28" s="6">
        <f>O28*12</f>
        <v>1335.12912</v>
      </c>
      <c r="Q28" s="6">
        <f>J28+O28</f>
        <v>568.49676</v>
      </c>
      <c r="R28" s="6">
        <f>K28+P28</f>
        <v>6821.96112</v>
      </c>
    </row>
    <row r="29" spans="1:18">
      <c r="A29" s="2" t="s">
        <v>27</v>
      </c>
      <c r="B29" s="3" t="s">
        <v>47</v>
      </c>
      <c r="C29" s="4">
        <v>59241</v>
      </c>
      <c r="D29" s="4">
        <v>2589</v>
      </c>
      <c r="E29" s="4">
        <f>C29</f>
        <v>59241</v>
      </c>
      <c r="F29" s="4">
        <f>E29*3</f>
        <v>177723</v>
      </c>
      <c r="G29" s="5">
        <v>0.2</v>
      </c>
      <c r="H29" s="4">
        <f>F29*G29</f>
        <v>35544.6</v>
      </c>
      <c r="I29" s="6">
        <v>10</v>
      </c>
      <c r="J29" s="6">
        <f>H29/1000*I29</f>
        <v>355.44599999999997</v>
      </c>
      <c r="K29" s="6">
        <f>J29*12</f>
        <v>4265.352</v>
      </c>
      <c r="L29" s="4">
        <f>E29*(1-G29)</f>
        <v>47392.8</v>
      </c>
      <c r="M29" s="4">
        <f>L29*0.0005</f>
        <v>23.6964</v>
      </c>
      <c r="N29" s="4">
        <f>M29*0.5</f>
        <v>11.8482</v>
      </c>
      <c r="O29" s="6">
        <f>N29*7.30</f>
        <v>86.49186</v>
      </c>
      <c r="P29" s="6">
        <f>O29*12</f>
        <v>1037.9023200000001</v>
      </c>
      <c r="Q29" s="6">
        <f>J29+O29</f>
        <v>441.93786</v>
      </c>
      <c r="R29" s="6">
        <f>K29+P29</f>
        <v>5303.25432</v>
      </c>
    </row>
    <row r="30" spans="1:18">
      <c r="A30" s="2" t="s">
        <v>27</v>
      </c>
      <c r="B30" s="3" t="s">
        <v>48</v>
      </c>
      <c r="C30" s="4">
        <v>52933</v>
      </c>
      <c r="D30" s="4">
        <v>2470</v>
      </c>
      <c r="E30" s="4">
        <f>C30</f>
        <v>52933</v>
      </c>
      <c r="F30" s="4">
        <f>E30*3</f>
        <v>158799</v>
      </c>
      <c r="G30" s="5">
        <v>0.2</v>
      </c>
      <c r="H30" s="4">
        <f>F30*G30</f>
        <v>31759.800000000003</v>
      </c>
      <c r="I30" s="6">
        <v>10</v>
      </c>
      <c r="J30" s="6">
        <f>H30/1000*I30</f>
        <v>317.598</v>
      </c>
      <c r="K30" s="6">
        <f>J30*12</f>
        <v>3811.1760000000004</v>
      </c>
      <c r="L30" s="4">
        <f>E30*(1-G30)</f>
        <v>42346.4</v>
      </c>
      <c r="M30" s="4">
        <f>L30*0.0005</f>
        <v>21.1732</v>
      </c>
      <c r="N30" s="4">
        <f>M30*0.5</f>
        <v>10.5866</v>
      </c>
      <c r="O30" s="6">
        <f>N30*7.30</f>
        <v>77.28218</v>
      </c>
      <c r="P30" s="6">
        <f>O30*12</f>
        <v>927.38616</v>
      </c>
      <c r="Q30" s="6">
        <f>J30+O30</f>
        <v>394.88018</v>
      </c>
      <c r="R30" s="6">
        <f>K30+P30</f>
        <v>4738.56216</v>
      </c>
    </row>
    <row r="31" spans="1:18">
      <c r="A31" s="2" t="s">
        <v>27</v>
      </c>
      <c r="B31" s="3" t="s">
        <v>49</v>
      </c>
      <c r="C31" s="4">
        <v>50878</v>
      </c>
      <c r="D31" s="4">
        <v>2216</v>
      </c>
      <c r="E31" s="4">
        <f>C31</f>
        <v>50878</v>
      </c>
      <c r="F31" s="4">
        <f>E31*3</f>
        <v>152634</v>
      </c>
      <c r="G31" s="5">
        <v>0.2</v>
      </c>
      <c r="H31" s="4">
        <f>F31*G31</f>
        <v>30526.800000000003</v>
      </c>
      <c r="I31" s="6">
        <v>10</v>
      </c>
      <c r="J31" s="6">
        <f>H31/1000*I31</f>
        <v>305.26800000000003</v>
      </c>
      <c r="K31" s="6">
        <f>J31*12</f>
        <v>3663.2160000000003</v>
      </c>
      <c r="L31" s="4">
        <f>E31*(1-G31)</f>
        <v>40702.4</v>
      </c>
      <c r="M31" s="4">
        <f>L31*0.0005</f>
        <v>20.351200000000002</v>
      </c>
      <c r="N31" s="4">
        <f>M31*0.5</f>
        <v>10.175600000000001</v>
      </c>
      <c r="O31" s="6">
        <f>N31*7.30</f>
        <v>74.28188</v>
      </c>
      <c r="P31" s="6">
        <f>O31*12</f>
        <v>891.38256</v>
      </c>
      <c r="Q31" s="6">
        <f>J31+O31</f>
        <v>379.54988000000003</v>
      </c>
      <c r="R31" s="6">
        <f>K31+P31</f>
        <v>4554.59856</v>
      </c>
    </row>
    <row r="32" spans="1:18">
      <c r="A32" s="2" t="s">
        <v>27</v>
      </c>
      <c r="B32" s="3" t="s">
        <v>50</v>
      </c>
      <c r="C32" s="4">
        <v>45738</v>
      </c>
      <c r="D32" s="4">
        <v>1701</v>
      </c>
      <c r="E32" s="4">
        <f>C32</f>
        <v>45738</v>
      </c>
      <c r="F32" s="4">
        <f>E32*3</f>
        <v>137214</v>
      </c>
      <c r="G32" s="5">
        <v>0.2</v>
      </c>
      <c r="H32" s="4">
        <f>F32*G32</f>
        <v>27442.800000000003</v>
      </c>
      <c r="I32" s="6">
        <v>10</v>
      </c>
      <c r="J32" s="6">
        <f>H32/1000*I32</f>
        <v>274.428</v>
      </c>
      <c r="K32" s="6">
        <f>J32*12</f>
        <v>3293.136</v>
      </c>
      <c r="L32" s="4">
        <f>E32*(1-G32)</f>
        <v>36590.4</v>
      </c>
      <c r="M32" s="4">
        <f>L32*0.0005</f>
        <v>18.2952</v>
      </c>
      <c r="N32" s="4">
        <f>M32*0.5</f>
        <v>9.1476</v>
      </c>
      <c r="O32" s="6">
        <f>N32*7.30</f>
        <v>66.77748</v>
      </c>
      <c r="P32" s="6">
        <f>O32*12</f>
        <v>801.32976</v>
      </c>
      <c r="Q32" s="6">
        <f>J32+O32</f>
        <v>341.20547999999997</v>
      </c>
      <c r="R32" s="6">
        <f>K32+P32</f>
        <v>4094.46576</v>
      </c>
    </row>
    <row r="33" spans="1:18">
      <c r="A33" s="2" t="s">
        <v>27</v>
      </c>
      <c r="B33" s="3" t="s">
        <v>51</v>
      </c>
      <c r="C33" s="4">
        <v>39415</v>
      </c>
      <c r="D33" s="4">
        <v>1961</v>
      </c>
      <c r="E33" s="4">
        <f>C33</f>
        <v>39415</v>
      </c>
      <c r="F33" s="4">
        <f>E33*3</f>
        <v>118245</v>
      </c>
      <c r="G33" s="5">
        <v>0.2</v>
      </c>
      <c r="H33" s="4">
        <f>F33*G33</f>
        <v>23649.0</v>
      </c>
      <c r="I33" s="6">
        <v>10</v>
      </c>
      <c r="J33" s="6">
        <f>H33/1000*I33</f>
        <v>236.49</v>
      </c>
      <c r="K33" s="6">
        <f>J33*12</f>
        <v>2837.88</v>
      </c>
      <c r="L33" s="4">
        <f>E33*(1-G33)</f>
        <v>31532.0</v>
      </c>
      <c r="M33" s="4">
        <f>L33*0.0005</f>
        <v>15.766</v>
      </c>
      <c r="N33" s="4">
        <f>M33*0.5</f>
        <v>7.883</v>
      </c>
      <c r="O33" s="6">
        <f>N33*7.30</f>
        <v>57.545899999999996</v>
      </c>
      <c r="P33" s="6">
        <f>O33*12</f>
        <v>690.5508</v>
      </c>
      <c r="Q33" s="6">
        <f>J33+O33</f>
        <v>294.0359</v>
      </c>
      <c r="R33" s="6">
        <f>K33+P33</f>
        <v>3528.4308</v>
      </c>
    </row>
    <row r="34" spans="1:18">
      <c r="A34" s="2" t="s">
        <v>27</v>
      </c>
      <c r="B34" s="3" t="s">
        <v>52</v>
      </c>
      <c r="C34" s="4">
        <v>37259</v>
      </c>
      <c r="D34" s="4">
        <v>2654</v>
      </c>
      <c r="E34" s="4">
        <f>C34</f>
        <v>37259</v>
      </c>
      <c r="F34" s="4">
        <f>E34*3</f>
        <v>111777</v>
      </c>
      <c r="G34" s="5">
        <v>0.2</v>
      </c>
      <c r="H34" s="4">
        <f>F34*G34</f>
        <v>22355.4</v>
      </c>
      <c r="I34" s="6">
        <v>10</v>
      </c>
      <c r="J34" s="6">
        <f>H34/1000*I34</f>
        <v>223.55400000000003</v>
      </c>
      <c r="K34" s="6">
        <f>J34*12</f>
        <v>2682.648</v>
      </c>
      <c r="L34" s="4">
        <f>E34*(1-G34)</f>
        <v>29807.2</v>
      </c>
      <c r="M34" s="4">
        <f>L34*0.0005</f>
        <v>14.9036</v>
      </c>
      <c r="N34" s="4">
        <f>M34*0.5</f>
        <v>7.4518</v>
      </c>
      <c r="O34" s="6">
        <f>N34*7.30</f>
        <v>54.398140000000005</v>
      </c>
      <c r="P34" s="6">
        <f>O34*12</f>
        <v>652.77768</v>
      </c>
      <c r="Q34" s="6">
        <f>J34+O34</f>
        <v>277.95214000000004</v>
      </c>
      <c r="R34" s="6">
        <f>K34+P34</f>
        <v>3335.4256800000003</v>
      </c>
    </row>
    <row r="35" spans="1:18">
      <c r="A35" s="2" t="s">
        <v>27</v>
      </c>
      <c r="B35" s="3" t="s">
        <v>53</v>
      </c>
      <c r="C35" s="4">
        <v>35024</v>
      </c>
      <c r="D35" s="4">
        <v>1637</v>
      </c>
      <c r="E35" s="4">
        <f>C35</f>
        <v>35024</v>
      </c>
      <c r="F35" s="4">
        <f>E35*3</f>
        <v>105072</v>
      </c>
      <c r="G35" s="5">
        <v>0.2</v>
      </c>
      <c r="H35" s="4">
        <f>F35*G35</f>
        <v>21014.4</v>
      </c>
      <c r="I35" s="6">
        <v>10</v>
      </c>
      <c r="J35" s="6">
        <f>H35/1000*I35</f>
        <v>210.144</v>
      </c>
      <c r="K35" s="6">
        <f>J35*12</f>
        <v>2521.728</v>
      </c>
      <c r="L35" s="4">
        <f>E35*(1-G35)</f>
        <v>28019.2</v>
      </c>
      <c r="M35" s="4">
        <f>L35*0.0005</f>
        <v>14.0096</v>
      </c>
      <c r="N35" s="4">
        <f>M35*0.5</f>
        <v>7.0048</v>
      </c>
      <c r="O35" s="6">
        <f>N35*7.30</f>
        <v>51.135040000000004</v>
      </c>
      <c r="P35" s="6">
        <f>O35*12</f>
        <v>613.62048</v>
      </c>
      <c r="Q35" s="6">
        <f>J35+O35</f>
        <v>261.27904</v>
      </c>
      <c r="R35" s="6">
        <f>K35+P35</f>
        <v>3135.34848</v>
      </c>
    </row>
    <row r="36" spans="1:18">
      <c r="A36" s="2" t="s">
        <v>27</v>
      </c>
      <c r="B36" s="3" t="s">
        <v>54</v>
      </c>
      <c r="C36" s="4">
        <v>25819</v>
      </c>
      <c r="D36" s="4">
        <v>1367</v>
      </c>
      <c r="E36" s="4">
        <f>C36</f>
        <v>25819</v>
      </c>
      <c r="F36" s="4">
        <f>E36*3</f>
        <v>77457</v>
      </c>
      <c r="G36" s="5">
        <v>0.2</v>
      </c>
      <c r="H36" s="4">
        <f>F36*G36</f>
        <v>15491.400000000001</v>
      </c>
      <c r="I36" s="6">
        <v>10</v>
      </c>
      <c r="J36" s="6">
        <f>H36/1000*I36</f>
        <v>154.91400000000002</v>
      </c>
      <c r="K36" s="6">
        <f>J36*12</f>
        <v>1858.9680000000003</v>
      </c>
      <c r="L36" s="4">
        <f>E36*(1-G36)</f>
        <v>20655.2</v>
      </c>
      <c r="M36" s="4">
        <f>L36*0.0005</f>
        <v>10.3276</v>
      </c>
      <c r="N36" s="4">
        <f>M36*0.5</f>
        <v>5.1638</v>
      </c>
      <c r="O36" s="6">
        <f>N36*7.30</f>
        <v>37.69574</v>
      </c>
      <c r="P36" s="6">
        <f>O36*12</f>
        <v>452.34888</v>
      </c>
      <c r="Q36" s="6">
        <f>J36+O36</f>
        <v>192.60974000000002</v>
      </c>
      <c r="R36" s="6">
        <f>K36+P36</f>
        <v>2311.3168800000003</v>
      </c>
    </row>
    <row r="37" spans="1:18">
      <c r="A37" s="2" t="s">
        <v>27</v>
      </c>
      <c r="B37" s="3" t="s">
        <v>55</v>
      </c>
      <c r="C37" s="4">
        <v>18636</v>
      </c>
      <c r="D37" s="4">
        <v>1120</v>
      </c>
      <c r="E37" s="4">
        <f>C37</f>
        <v>18636</v>
      </c>
      <c r="F37" s="4">
        <f>E37*3</f>
        <v>55908</v>
      </c>
      <c r="G37" s="5">
        <v>0.2</v>
      </c>
      <c r="H37" s="4">
        <f>F37*G37</f>
        <v>11181.6</v>
      </c>
      <c r="I37" s="6">
        <v>10</v>
      </c>
      <c r="J37" s="6">
        <f>H37/1000*I37</f>
        <v>111.816</v>
      </c>
      <c r="K37" s="6">
        <f>J37*12</f>
        <v>1341.792</v>
      </c>
      <c r="L37" s="4">
        <f>E37*(1-G37)</f>
        <v>14908.800000000001</v>
      </c>
      <c r="M37" s="4">
        <f>L37*0.0005</f>
        <v>7.454400000000001</v>
      </c>
      <c r="N37" s="4">
        <f>M37*0.5</f>
        <v>3.7272000000000003</v>
      </c>
      <c r="O37" s="6">
        <f>N37*7.30</f>
        <v>27.208560000000002</v>
      </c>
      <c r="P37" s="6">
        <f>O37*12</f>
        <v>326.50272</v>
      </c>
      <c r="Q37" s="6">
        <f>J37+O37</f>
        <v>139.02456</v>
      </c>
      <c r="R37" s="6">
        <f>K37+P37</f>
        <v>1668.2947199999999</v>
      </c>
    </row>
    <row r="38" spans="1:18">
      <c r="A38" s="2" t="s">
        <v>27</v>
      </c>
      <c r="B38" s="3" t="s">
        <v>56</v>
      </c>
      <c r="C38" s="4">
        <v>14929</v>
      </c>
      <c r="D38" s="4">
        <v>788</v>
      </c>
      <c r="E38" s="4">
        <f>C38</f>
        <v>14929</v>
      </c>
      <c r="F38" s="4">
        <f>E38*3</f>
        <v>44787</v>
      </c>
      <c r="G38" s="5">
        <v>0.2</v>
      </c>
      <c r="H38" s="4">
        <f>F38*G38</f>
        <v>8957.4</v>
      </c>
      <c r="I38" s="6">
        <v>10</v>
      </c>
      <c r="J38" s="6">
        <f>H38/1000*I38</f>
        <v>89.574</v>
      </c>
      <c r="K38" s="6">
        <f>J38*12</f>
        <v>1074.888</v>
      </c>
      <c r="L38" s="4">
        <f>E38*(1-G38)</f>
        <v>11943.2</v>
      </c>
      <c r="M38" s="4">
        <f>L38*0.0005</f>
        <v>5.9716000000000005</v>
      </c>
      <c r="N38" s="4">
        <f>M38*0.5</f>
        <v>2.9858000000000002</v>
      </c>
      <c r="O38" s="6">
        <f>N38*7.30</f>
        <v>21.79634</v>
      </c>
      <c r="P38" s="6">
        <f>O38*12</f>
        <v>261.55608</v>
      </c>
      <c r="Q38" s="6">
        <f>J38+O38</f>
        <v>111.37034</v>
      </c>
      <c r="R38" s="6">
        <f>K38+P38</f>
        <v>1336.44408</v>
      </c>
    </row>
    <row r="39" spans="1:18">
      <c r="A39" s="2" t="s">
        <v>27</v>
      </c>
      <c r="B39" s="3" t="s">
        <v>57</v>
      </c>
      <c r="C39" s="4">
        <v>12079</v>
      </c>
      <c r="D39" s="4">
        <v>623</v>
      </c>
      <c r="E39" s="4">
        <f>C39</f>
        <v>12079</v>
      </c>
      <c r="F39" s="4">
        <f>E39*3</f>
        <v>36237</v>
      </c>
      <c r="G39" s="5">
        <v>0.2</v>
      </c>
      <c r="H39" s="4">
        <f>F39*G39</f>
        <v>7247.400000000001</v>
      </c>
      <c r="I39" s="6">
        <v>10</v>
      </c>
      <c r="J39" s="6">
        <f>H39/1000*I39</f>
        <v>72.474</v>
      </c>
      <c r="K39" s="6">
        <f>J39*12</f>
        <v>869.6880000000001</v>
      </c>
      <c r="L39" s="4">
        <f>E39*(1-G39)</f>
        <v>9663.2</v>
      </c>
      <c r="M39" s="4">
        <f>L39*0.0005</f>
        <v>4.831600000000001</v>
      </c>
      <c r="N39" s="4">
        <f>M39*0.5</f>
        <v>2.4158000000000004</v>
      </c>
      <c r="O39" s="6">
        <f>N39*7.30</f>
        <v>17.635340000000003</v>
      </c>
      <c r="P39" s="6">
        <f>O39*12</f>
        <v>211.62408000000005</v>
      </c>
      <c r="Q39" s="6">
        <f>J39+O39</f>
        <v>90.10934</v>
      </c>
      <c r="R39" s="6">
        <f>K39+P39</f>
        <v>1081.3120800000002</v>
      </c>
    </row>
    <row r="40" spans="1:18">
      <c r="A40" s="2" t="s">
        <v>27</v>
      </c>
      <c r="B40" s="3" t="s">
        <v>58</v>
      </c>
      <c r="C40" s="4">
        <v>9824</v>
      </c>
      <c r="D40" s="4">
        <v>646</v>
      </c>
      <c r="E40" s="4">
        <f>C40</f>
        <v>9824</v>
      </c>
      <c r="F40" s="4">
        <f>E40*3</f>
        <v>29472</v>
      </c>
      <c r="G40" s="5">
        <v>0.2</v>
      </c>
      <c r="H40" s="4">
        <f>F40*G40</f>
        <v>5894.400000000001</v>
      </c>
      <c r="I40" s="6">
        <v>10</v>
      </c>
      <c r="J40" s="6">
        <f>H40/1000*I40</f>
        <v>58.94400000000001</v>
      </c>
      <c r="K40" s="6">
        <f>J40*12</f>
        <v>707.3280000000001</v>
      </c>
      <c r="L40" s="4">
        <f>E40*(1-G40)</f>
        <v>7859.200000000001</v>
      </c>
      <c r="M40" s="4">
        <f>L40*0.0005</f>
        <v>3.9296000000000006</v>
      </c>
      <c r="N40" s="4">
        <f>M40*0.5</f>
        <v>1.9648000000000003</v>
      </c>
      <c r="O40" s="6">
        <f>N40*7.30</f>
        <v>14.343040000000002</v>
      </c>
      <c r="P40" s="6">
        <f>O40*12</f>
        <v>172.11648000000002</v>
      </c>
      <c r="Q40" s="6">
        <f>J40+O40</f>
        <v>73.28704000000002</v>
      </c>
      <c r="R40" s="6">
        <f>K40+P40</f>
        <v>879.4444800000001</v>
      </c>
    </row>
    <row r="41" spans="1:18">
      <c r="A41" s="2" t="s">
        <v>27</v>
      </c>
      <c r="B41" s="3" t="s">
        <v>59</v>
      </c>
      <c r="C41" s="4">
        <v>1014</v>
      </c>
      <c r="D41" s="4">
        <v>46</v>
      </c>
      <c r="E41" s="4">
        <f>C41</f>
        <v>1014</v>
      </c>
      <c r="F41" s="4">
        <f>E41*3</f>
        <v>3042</v>
      </c>
      <c r="G41" s="5">
        <v>0.2</v>
      </c>
      <c r="H41" s="4">
        <f>F41*G41</f>
        <v>608.4</v>
      </c>
      <c r="I41" s="6">
        <v>10</v>
      </c>
      <c r="J41" s="6">
        <f>H41/1000*I41</f>
        <v>6.084</v>
      </c>
      <c r="K41" s="6">
        <f>J41*12</f>
        <v>73.008</v>
      </c>
      <c r="L41" s="4">
        <f>E41*(1-G41)</f>
        <v>811.2</v>
      </c>
      <c r="M41" s="4">
        <f>L41*0.0005</f>
        <v>0.4056</v>
      </c>
      <c r="N41" s="4">
        <f>M41*0.5</f>
        <v>0.2028</v>
      </c>
      <c r="O41" s="6">
        <f>N41*7.30</f>
        <v>1.48044</v>
      </c>
      <c r="P41" s="6">
        <f>O41*12</f>
        <v>17.76528</v>
      </c>
      <c r="Q41" s="6">
        <f>J41+O41</f>
        <v>7.564439999999999</v>
      </c>
      <c r="R41" s="6">
        <f>K41+P41</f>
        <v>90.77328</v>
      </c>
    </row>
    <row r="42" spans="1:18">
      <c r="A42" s="2" t="s">
        <v>27</v>
      </c>
      <c r="B42" s="3" t="s">
        <v>60</v>
      </c>
      <c r="C42" s="4">
        <v>292</v>
      </c>
      <c r="D42" s="4">
        <v>44</v>
      </c>
      <c r="E42" s="4">
        <f>C42</f>
        <v>292</v>
      </c>
      <c r="F42" s="4">
        <f>E42*3</f>
        <v>876</v>
      </c>
      <c r="G42" s="5">
        <v>0.2</v>
      </c>
      <c r="H42" s="4">
        <f>F42*G42</f>
        <v>175.20000000000002</v>
      </c>
      <c r="I42" s="6">
        <v>10</v>
      </c>
      <c r="J42" s="6">
        <f>H42/1000*I42</f>
        <v>1.7520000000000002</v>
      </c>
      <c r="K42" s="6">
        <f>J42*12</f>
        <v>21.024</v>
      </c>
      <c r="L42" s="4">
        <f>E42*(1-G42)</f>
        <v>233.60000000000002</v>
      </c>
      <c r="M42" s="4">
        <f>L42*0.0005</f>
        <v>0.11680000000000001</v>
      </c>
      <c r="N42" s="4">
        <f>M42*0.5</f>
        <v>0.05840000000000001</v>
      </c>
      <c r="O42" s="6">
        <f>N42*7.30</f>
        <v>0.42632000000000003</v>
      </c>
      <c r="P42" s="6">
        <f>O42*12</f>
        <v>5.11584</v>
      </c>
      <c r="Q42" s="6">
        <f>J42+O42</f>
        <v>2.1783200000000003</v>
      </c>
      <c r="R42" s="6">
        <f>K42+P42</f>
        <v>26.13984</v>
      </c>
    </row>
    <row r="43" spans="1:18">
      <c r="A43" s="2" t="s">
        <v>61</v>
      </c>
      <c r="B43" s="3" t="s">
        <v>62</v>
      </c>
      <c r="C43" s="4">
        <v>3629873</v>
      </c>
      <c r="D43" s="4">
        <v>105265</v>
      </c>
      <c r="E43" s="4">
        <f>C43</f>
        <v>3629873</v>
      </c>
      <c r="F43" s="4">
        <f>E43*3</f>
        <v>10889619</v>
      </c>
      <c r="G43" s="5">
        <v>0.1</v>
      </c>
      <c r="H43" s="4">
        <f>F43*G43</f>
        <v>1088961.9000000001</v>
      </c>
      <c r="I43" s="6">
        <v>5</v>
      </c>
      <c r="J43" s="6">
        <f>H43/1000*I43</f>
        <v>5444.809500000001</v>
      </c>
      <c r="K43" s="6">
        <f>J43*12</f>
        <v>65337.714000000014</v>
      </c>
      <c r="L43" s="4">
        <f>E43*(1-G43)</f>
        <v>3266885.7</v>
      </c>
      <c r="M43" s="4">
        <f>L43*0.0005</f>
        <v>1633.4428500000001</v>
      </c>
      <c r="N43" s="4">
        <f>M43*0.5</f>
        <v>816.7214250000001</v>
      </c>
      <c r="O43" s="6">
        <f>N43*7.30</f>
        <v>5962.066402500001</v>
      </c>
      <c r="P43" s="6">
        <f>O43*12</f>
        <v>71544.79683</v>
      </c>
      <c r="Q43" s="6">
        <f>J43+O43</f>
        <v>11406.875902500002</v>
      </c>
      <c r="R43" s="6">
        <f>K43+P43</f>
        <v>136882.51083</v>
      </c>
    </row>
    <row r="44" spans="1:18">
      <c r="A44" s="2" t="s">
        <v>61</v>
      </c>
      <c r="B44" s="3" t="s">
        <v>63</v>
      </c>
      <c r="C44" s="4">
        <v>1385155</v>
      </c>
      <c r="D44" s="4">
        <v>60916</v>
      </c>
      <c r="E44" s="4">
        <f>C44</f>
        <v>1385155</v>
      </c>
      <c r="F44" s="4">
        <f>E44*3</f>
        <v>4155465</v>
      </c>
      <c r="G44" s="5">
        <v>0.1</v>
      </c>
      <c r="H44" s="4">
        <f>F44*G44</f>
        <v>415546.5</v>
      </c>
      <c r="I44" s="6">
        <v>5</v>
      </c>
      <c r="J44" s="6">
        <f>H44/1000*I44</f>
        <v>2077.7325</v>
      </c>
      <c r="K44" s="6">
        <f>J44*12</f>
        <v>24932.79</v>
      </c>
      <c r="L44" s="4">
        <f>E44*(1-G44)</f>
        <v>1246639.5</v>
      </c>
      <c r="M44" s="4">
        <f>L44*0.0005</f>
        <v>623.31975</v>
      </c>
      <c r="N44" s="4">
        <f>M44*0.5</f>
        <v>311.659875</v>
      </c>
      <c r="O44" s="6">
        <f>N44*7.30</f>
        <v>2275.1170875</v>
      </c>
      <c r="P44" s="6">
        <f>O44*12</f>
        <v>27301.405049999998</v>
      </c>
      <c r="Q44" s="6">
        <f>J44+O44</f>
        <v>4352.8495875</v>
      </c>
      <c r="R44" s="6">
        <f>K44+P44</f>
        <v>52234.195049999995</v>
      </c>
    </row>
    <row r="45" spans="1:18">
      <c r="A45" s="2" t="s">
        <v>61</v>
      </c>
      <c r="B45" s="3" t="s">
        <v>64</v>
      </c>
      <c r="C45" s="4">
        <v>1107849</v>
      </c>
      <c r="D45" s="4">
        <v>60005</v>
      </c>
      <c r="E45" s="4">
        <f>C45</f>
        <v>1107849</v>
      </c>
      <c r="F45" s="4">
        <f>E45*3</f>
        <v>3323547</v>
      </c>
      <c r="G45" s="5">
        <v>0.1</v>
      </c>
      <c r="H45" s="4">
        <f>F45*G45</f>
        <v>332354.7</v>
      </c>
      <c r="I45" s="6">
        <v>5</v>
      </c>
      <c r="J45" s="6">
        <f>H45/1000*I45</f>
        <v>1661.7735000000002</v>
      </c>
      <c r="K45" s="6">
        <f>J45*12</f>
        <v>19941.282000000003</v>
      </c>
      <c r="L45" s="4">
        <f>E45*(1-G45)</f>
        <v>997064.1</v>
      </c>
      <c r="M45" s="4">
        <f>L45*0.0005</f>
        <v>498.53205</v>
      </c>
      <c r="N45" s="4">
        <f>M45*0.5</f>
        <v>249.266025</v>
      </c>
      <c r="O45" s="6">
        <f>N45*7.30</f>
        <v>1819.6419825</v>
      </c>
      <c r="P45" s="6">
        <f>O45*12</f>
        <v>21835.70379</v>
      </c>
      <c r="Q45" s="6">
        <f>J45+O45</f>
        <v>3481.4154825000005</v>
      </c>
      <c r="R45" s="6">
        <f>K45+P45</f>
        <v>41776.985790000006</v>
      </c>
    </row>
    <row r="46" spans="1:18">
      <c r="A46" s="2" t="s">
        <v>61</v>
      </c>
      <c r="B46" s="3" t="s">
        <v>65</v>
      </c>
      <c r="C46" s="4">
        <v>1096149</v>
      </c>
      <c r="D46" s="4">
        <v>29044</v>
      </c>
      <c r="E46" s="4">
        <f>C46</f>
        <v>1096149</v>
      </c>
      <c r="F46" s="4">
        <f>E46*3</f>
        <v>3288447</v>
      </c>
      <c r="G46" s="5">
        <v>0.1</v>
      </c>
      <c r="H46" s="4">
        <f>F46*G46</f>
        <v>328844.7</v>
      </c>
      <c r="I46" s="6">
        <v>5</v>
      </c>
      <c r="J46" s="6">
        <f>H46/1000*I46</f>
        <v>1644.2235</v>
      </c>
      <c r="K46" s="6">
        <f>J46*12</f>
        <v>19730.682</v>
      </c>
      <c r="L46" s="4">
        <f>E46*(1-G46)</f>
        <v>986534.1</v>
      </c>
      <c r="M46" s="4">
        <f>L46*0.0005</f>
        <v>493.26705</v>
      </c>
      <c r="N46" s="4">
        <f>M46*0.5</f>
        <v>246.633525</v>
      </c>
      <c r="O46" s="6">
        <f>N46*7.30</f>
        <v>1800.4247325</v>
      </c>
      <c r="P46" s="6">
        <f>O46*12</f>
        <v>21605.09679</v>
      </c>
      <c r="Q46" s="6">
        <f>J46+O46</f>
        <v>3444.6482324999997</v>
      </c>
      <c r="R46" s="6">
        <f>K46+P46</f>
        <v>41335.77879</v>
      </c>
    </row>
    <row r="47" spans="1:18">
      <c r="A47" s="2" t="s">
        <v>61</v>
      </c>
      <c r="B47" s="3" t="s">
        <v>66</v>
      </c>
      <c r="C47" s="4">
        <v>945324</v>
      </c>
      <c r="D47" s="4">
        <v>31311</v>
      </c>
      <c r="E47" s="4">
        <f>C47</f>
        <v>945324</v>
      </c>
      <c r="F47" s="4">
        <f>E47*3</f>
        <v>2835972</v>
      </c>
      <c r="G47" s="5">
        <v>0.1</v>
      </c>
      <c r="H47" s="4">
        <f>F47*G47</f>
        <v>283597.2</v>
      </c>
      <c r="I47" s="6">
        <v>5</v>
      </c>
      <c r="J47" s="6">
        <f>H47/1000*I47</f>
        <v>1417.9859999999999</v>
      </c>
      <c r="K47" s="6">
        <f>J47*12</f>
        <v>17015.832</v>
      </c>
      <c r="L47" s="4">
        <f>E47*(1-G47)</f>
        <v>850791.6</v>
      </c>
      <c r="M47" s="4">
        <f>L47*0.0005</f>
        <v>425.3958</v>
      </c>
      <c r="N47" s="4">
        <f>M47*0.5</f>
        <v>212.6979</v>
      </c>
      <c r="O47" s="6">
        <f>N47*7.30</f>
        <v>1552.69467</v>
      </c>
      <c r="P47" s="6">
        <f>O47*12</f>
        <v>18632.336040000002</v>
      </c>
      <c r="Q47" s="6">
        <f>J47+O47</f>
        <v>2970.6806699999997</v>
      </c>
      <c r="R47" s="6">
        <f>K47+P47</f>
        <v>35648.168040000004</v>
      </c>
    </row>
    <row r="48" spans="1:18">
      <c r="A48" s="2" t="s">
        <v>61</v>
      </c>
      <c r="B48" s="3" t="s">
        <v>67</v>
      </c>
      <c r="C48" s="4">
        <v>802697</v>
      </c>
      <c r="D48" s="4">
        <v>29239</v>
      </c>
      <c r="E48" s="4">
        <f>C48</f>
        <v>802697</v>
      </c>
      <c r="F48" s="4">
        <f>E48*3</f>
        <v>2408091</v>
      </c>
      <c r="G48" s="5">
        <v>0.1</v>
      </c>
      <c r="H48" s="4">
        <f>F48*G48</f>
        <v>240809.1</v>
      </c>
      <c r="I48" s="6">
        <v>5</v>
      </c>
      <c r="J48" s="6">
        <f>H48/1000*I48</f>
        <v>1204.0455</v>
      </c>
      <c r="K48" s="6">
        <f>J48*12</f>
        <v>14448.545999999998</v>
      </c>
      <c r="L48" s="4">
        <f>E48*(1-G48)</f>
        <v>722427.3</v>
      </c>
      <c r="M48" s="4">
        <f>L48*0.0005</f>
        <v>361.21365000000003</v>
      </c>
      <c r="N48" s="4">
        <f>M48*0.5</f>
        <v>180.60682500000001</v>
      </c>
      <c r="O48" s="6">
        <f>N48*7.30</f>
        <v>1318.4298225</v>
      </c>
      <c r="P48" s="6">
        <f>O48*12</f>
        <v>15821.15787</v>
      </c>
      <c r="Q48" s="6">
        <f>J48+O48</f>
        <v>2522.4753225</v>
      </c>
      <c r="R48" s="6">
        <f>K48+P48</f>
        <v>30269.703869999998</v>
      </c>
    </row>
    <row r="49" spans="1:18">
      <c r="A49" s="2" t="s">
        <v>61</v>
      </c>
      <c r="B49" s="3" t="s">
        <v>68</v>
      </c>
      <c r="C49" s="4">
        <v>402951</v>
      </c>
      <c r="D49" s="4">
        <v>21315</v>
      </c>
      <c r="E49" s="4">
        <f>C49</f>
        <v>402951</v>
      </c>
      <c r="F49" s="4">
        <f>E49*3</f>
        <v>1208853</v>
      </c>
      <c r="G49" s="5">
        <v>0.1</v>
      </c>
      <c r="H49" s="4">
        <f>F49*G49</f>
        <v>120885.3</v>
      </c>
      <c r="I49" s="6">
        <v>5</v>
      </c>
      <c r="J49" s="6">
        <f>H49/1000*I49</f>
        <v>604.4265</v>
      </c>
      <c r="K49" s="6">
        <f>J49*12</f>
        <v>7253.118</v>
      </c>
      <c r="L49" s="4">
        <f>E49*(1-G49)</f>
        <v>362655.9</v>
      </c>
      <c r="M49" s="4">
        <f>L49*0.0005</f>
        <v>181.32795000000002</v>
      </c>
      <c r="N49" s="4">
        <f>M49*0.5</f>
        <v>90.66397500000001</v>
      </c>
      <c r="O49" s="6">
        <f>N49*7.30</f>
        <v>661.8470175</v>
      </c>
      <c r="P49" s="6">
        <f>O49*12</f>
        <v>7942.16421</v>
      </c>
      <c r="Q49" s="6">
        <f>J49+O49</f>
        <v>1266.2735175</v>
      </c>
      <c r="R49" s="6">
        <f>K49+P49</f>
        <v>15195.282210000001</v>
      </c>
    </row>
    <row r="50" spans="1:18">
      <c r="A50" s="2" t="s">
        <v>61</v>
      </c>
      <c r="B50" s="3" t="s">
        <v>69</v>
      </c>
      <c r="C50" s="4">
        <v>351302</v>
      </c>
      <c r="D50" s="4">
        <v>25121</v>
      </c>
      <c r="E50" s="4">
        <f>C50</f>
        <v>351302</v>
      </c>
      <c r="F50" s="4">
        <f>E50*3</f>
        <v>1053906</v>
      </c>
      <c r="G50" s="5">
        <v>0.1</v>
      </c>
      <c r="H50" s="4">
        <f>F50*G50</f>
        <v>105390.6</v>
      </c>
      <c r="I50" s="6">
        <v>5</v>
      </c>
      <c r="J50" s="6">
        <f>H50/1000*I50</f>
        <v>526.953</v>
      </c>
      <c r="K50" s="6">
        <f>J50*12</f>
        <v>6323.436</v>
      </c>
      <c r="L50" s="4">
        <f>E50*(1-G50)</f>
        <v>316171.8</v>
      </c>
      <c r="M50" s="4">
        <f>L50*0.0005</f>
        <v>158.0859</v>
      </c>
      <c r="N50" s="4">
        <f>M50*0.5</f>
        <v>79.04295</v>
      </c>
      <c r="O50" s="6">
        <f>N50*7.30</f>
        <v>577.013535</v>
      </c>
      <c r="P50" s="6">
        <f>O50*12</f>
        <v>6924.162420000001</v>
      </c>
      <c r="Q50" s="6">
        <f>J50+O50</f>
        <v>1103.966535</v>
      </c>
      <c r="R50" s="6">
        <f>K50+P50</f>
        <v>13247.59842</v>
      </c>
    </row>
    <row r="51" spans="1:18">
      <c r="A51" s="2" t="s">
        <v>61</v>
      </c>
      <c r="B51" s="3" t="s">
        <v>70</v>
      </c>
      <c r="C51" s="4">
        <v>346097</v>
      </c>
      <c r="D51" s="4">
        <v>10047</v>
      </c>
      <c r="E51" s="4">
        <f>C51</f>
        <v>346097</v>
      </c>
      <c r="F51" s="4">
        <f>E51*3</f>
        <v>1038291</v>
      </c>
      <c r="G51" s="5">
        <v>0.1</v>
      </c>
      <c r="H51" s="4">
        <f>F51*G51</f>
        <v>103829.1</v>
      </c>
      <c r="I51" s="6">
        <v>5</v>
      </c>
      <c r="J51" s="6">
        <f>H51/1000*I51</f>
        <v>519.1455000000001</v>
      </c>
      <c r="K51" s="6">
        <f>J51*12</f>
        <v>6229.746000000001</v>
      </c>
      <c r="L51" s="4">
        <f>E51*(1-G51)</f>
        <v>311487.3</v>
      </c>
      <c r="M51" s="4">
        <f>L51*0.0005</f>
        <v>155.74365</v>
      </c>
      <c r="N51" s="4">
        <f>M51*0.5</f>
        <v>77.871825</v>
      </c>
      <c r="O51" s="6">
        <f>N51*7.30</f>
        <v>568.4643225</v>
      </c>
      <c r="P51" s="6">
        <f>O51*12</f>
        <v>6821.57187</v>
      </c>
      <c r="Q51" s="6">
        <f>J51+O51</f>
        <v>1087.6098225</v>
      </c>
      <c r="R51" s="6">
        <f>K51+P51</f>
        <v>13051.31787</v>
      </c>
    </row>
    <row r="52" spans="1:18">
      <c r="A52" s="2" t="s">
        <v>61</v>
      </c>
      <c r="B52" s="3" t="s">
        <v>71</v>
      </c>
      <c r="C52" s="4">
        <v>290402</v>
      </c>
      <c r="D52" s="4">
        <v>17760</v>
      </c>
      <c r="E52" s="4">
        <f>C52</f>
        <v>290402</v>
      </c>
      <c r="F52" s="4">
        <f>E52*3</f>
        <v>871206</v>
      </c>
      <c r="G52" s="5">
        <v>0.1</v>
      </c>
      <c r="H52" s="4">
        <f>F52*G52</f>
        <v>87120.6</v>
      </c>
      <c r="I52" s="6">
        <v>5</v>
      </c>
      <c r="J52" s="6">
        <f>H52/1000*I52</f>
        <v>435.60300000000007</v>
      </c>
      <c r="K52" s="6">
        <f>J52*12</f>
        <v>5227.236000000001</v>
      </c>
      <c r="L52" s="4">
        <f>E52*(1-G52)</f>
        <v>261361.80000000002</v>
      </c>
      <c r="M52" s="4">
        <f>L52*0.0005</f>
        <v>130.6809</v>
      </c>
      <c r="N52" s="4">
        <f>M52*0.5</f>
        <v>65.34045</v>
      </c>
      <c r="O52" s="6">
        <f>N52*7.30</f>
        <v>476.98528500000003</v>
      </c>
      <c r="P52" s="6">
        <f>O52*12</f>
        <v>5723.823420000001</v>
      </c>
      <c r="Q52" s="6">
        <f>J52+O52</f>
        <v>912.588285</v>
      </c>
      <c r="R52" s="6">
        <f>K52+P52</f>
        <v>10951.059420000001</v>
      </c>
    </row>
    <row r="53" spans="1:18">
      <c r="A53" s="2" t="s">
        <v>61</v>
      </c>
      <c r="B53" s="3" t="s">
        <v>72</v>
      </c>
      <c r="C53" s="4">
        <v>224981</v>
      </c>
      <c r="D53" s="4">
        <v>7180</v>
      </c>
      <c r="E53" s="4">
        <f>C53</f>
        <v>224981</v>
      </c>
      <c r="F53" s="4">
        <f>E53*3</f>
        <v>674943</v>
      </c>
      <c r="G53" s="5">
        <v>0.1</v>
      </c>
      <c r="H53" s="4">
        <f>F53*G53</f>
        <v>67494.3</v>
      </c>
      <c r="I53" s="6">
        <v>5</v>
      </c>
      <c r="J53" s="6">
        <f>H53/1000*I53</f>
        <v>337.47150000000005</v>
      </c>
      <c r="K53" s="6">
        <f>J53*12</f>
        <v>4049.6580000000004</v>
      </c>
      <c r="L53" s="4">
        <f>E53*(1-G53)</f>
        <v>202482.9</v>
      </c>
      <c r="M53" s="4">
        <f>L53*0.0005</f>
        <v>101.24145</v>
      </c>
      <c r="N53" s="4">
        <f>M53*0.5</f>
        <v>50.620725</v>
      </c>
      <c r="O53" s="6">
        <f>N53*7.30</f>
        <v>369.5312925</v>
      </c>
      <c r="P53" s="6">
        <f>O53*12</f>
        <v>4434.37551</v>
      </c>
      <c r="Q53" s="6">
        <f>J53+O53</f>
        <v>707.0027925</v>
      </c>
      <c r="R53" s="6">
        <f>K53+P53</f>
        <v>8484.033510000001</v>
      </c>
    </row>
    <row r="54" spans="1:18">
      <c r="A54" s="2" t="s">
        <v>61</v>
      </c>
      <c r="B54" s="3" t="s">
        <v>73</v>
      </c>
      <c r="C54" s="4">
        <v>194892</v>
      </c>
      <c r="D54" s="4">
        <v>6622</v>
      </c>
      <c r="E54" s="4">
        <f>C54</f>
        <v>194892</v>
      </c>
      <c r="F54" s="4">
        <f>E54*3</f>
        <v>584676</v>
      </c>
      <c r="G54" s="5">
        <v>0.1</v>
      </c>
      <c r="H54" s="4">
        <f>F54*G54</f>
        <v>58467.600000000006</v>
      </c>
      <c r="I54" s="6">
        <v>5</v>
      </c>
      <c r="J54" s="6">
        <f>H54/1000*I54</f>
        <v>292.338</v>
      </c>
      <c r="K54" s="6">
        <f>J54*12</f>
        <v>3508.0560000000005</v>
      </c>
      <c r="L54" s="4">
        <f>E54*(1-G54)</f>
        <v>175402.80000000002</v>
      </c>
      <c r="M54" s="4">
        <f>L54*0.0005</f>
        <v>87.7014</v>
      </c>
      <c r="N54" s="4">
        <f>M54*0.5</f>
        <v>43.8507</v>
      </c>
      <c r="O54" s="6">
        <f>N54*7.30</f>
        <v>320.11011</v>
      </c>
      <c r="P54" s="6">
        <f>O54*12</f>
        <v>3841.32132</v>
      </c>
      <c r="Q54" s="6">
        <f>J54+O54</f>
        <v>612.44811</v>
      </c>
      <c r="R54" s="6">
        <f>K54+P54</f>
        <v>7349.3773200000005</v>
      </c>
    </row>
    <row r="55" spans="1:18">
      <c r="A55" s="2" t="s">
        <v>61</v>
      </c>
      <c r="B55" s="3" t="s">
        <v>74</v>
      </c>
      <c r="C55" s="4">
        <v>168747</v>
      </c>
      <c r="D55" s="4">
        <v>7529</v>
      </c>
      <c r="E55" s="4">
        <f>C55</f>
        <v>168747</v>
      </c>
      <c r="F55" s="4">
        <f>E55*3</f>
        <v>506241</v>
      </c>
      <c r="G55" s="5">
        <v>0.1</v>
      </c>
      <c r="H55" s="4">
        <f>F55*G55</f>
        <v>50624.100000000006</v>
      </c>
      <c r="I55" s="6">
        <v>5</v>
      </c>
      <c r="J55" s="6">
        <f>H55/1000*I55</f>
        <v>253.12050000000002</v>
      </c>
      <c r="K55" s="6">
        <f>J55*12</f>
        <v>3037.4460000000004</v>
      </c>
      <c r="L55" s="4">
        <f>E55*(1-G55)</f>
        <v>151872.30000000002</v>
      </c>
      <c r="M55" s="4">
        <f>L55*0.0005</f>
        <v>75.93615000000001</v>
      </c>
      <c r="N55" s="4">
        <f>M55*0.5</f>
        <v>37.968075000000006</v>
      </c>
      <c r="O55" s="6">
        <f>N55*7.30</f>
        <v>277.16694750000005</v>
      </c>
      <c r="P55" s="6">
        <f>O55*12</f>
        <v>3326.0033700000004</v>
      </c>
      <c r="Q55" s="6">
        <f>J55+O55</f>
        <v>530.2874475000001</v>
      </c>
      <c r="R55" s="6">
        <f>K55+P55</f>
        <v>6363.44937</v>
      </c>
    </row>
    <row r="56" spans="1:18">
      <c r="A56" s="2" t="s">
        <v>61</v>
      </c>
      <c r="B56" s="3" t="s">
        <v>75</v>
      </c>
      <c r="C56" s="4">
        <v>119146</v>
      </c>
      <c r="D56" s="4">
        <v>4024</v>
      </c>
      <c r="E56" s="4">
        <f>C56</f>
        <v>119146</v>
      </c>
      <c r="F56" s="4">
        <f>E56*3</f>
        <v>357438</v>
      </c>
      <c r="G56" s="5">
        <v>0.1</v>
      </c>
      <c r="H56" s="4">
        <f>F56*G56</f>
        <v>35743.8</v>
      </c>
      <c r="I56" s="6">
        <v>5</v>
      </c>
      <c r="J56" s="6">
        <f>H56/1000*I56</f>
        <v>178.719</v>
      </c>
      <c r="K56" s="6">
        <f>J56*12</f>
        <v>2144.6279999999997</v>
      </c>
      <c r="L56" s="4">
        <f>E56*(1-G56)</f>
        <v>107231.40000000001</v>
      </c>
      <c r="M56" s="4">
        <f>L56*0.0005</f>
        <v>53.615700000000004</v>
      </c>
      <c r="N56" s="4">
        <f>M56*0.5</f>
        <v>26.807850000000002</v>
      </c>
      <c r="O56" s="6">
        <f>N56*7.30</f>
        <v>195.697305</v>
      </c>
      <c r="P56" s="6">
        <f>O56*12</f>
        <v>2348.36766</v>
      </c>
      <c r="Q56" s="6">
        <f>J56+O56</f>
        <v>374.41630499999997</v>
      </c>
      <c r="R56" s="6">
        <f>K56+P56</f>
        <v>4492.99566</v>
      </c>
    </row>
    <row r="57" spans="1:18">
      <c r="A57" s="2" t="s">
        <v>61</v>
      </c>
      <c r="B57" s="3" t="s">
        <v>76</v>
      </c>
      <c r="C57" s="4">
        <v>118689</v>
      </c>
      <c r="D57" s="4">
        <v>4964</v>
      </c>
      <c r="E57" s="4">
        <f>C57</f>
        <v>118689</v>
      </c>
      <c r="F57" s="4">
        <f>E57*3</f>
        <v>356067</v>
      </c>
      <c r="G57" s="5">
        <v>0.1</v>
      </c>
      <c r="H57" s="4">
        <f>F57*G57</f>
        <v>35606.700000000004</v>
      </c>
      <c r="I57" s="6">
        <v>5</v>
      </c>
      <c r="J57" s="6">
        <f>H57/1000*I57</f>
        <v>178.0335</v>
      </c>
      <c r="K57" s="6">
        <f>J57*12</f>
        <v>2136.402</v>
      </c>
      <c r="L57" s="4">
        <f>E57*(1-G57)</f>
        <v>106820.1</v>
      </c>
      <c r="M57" s="4">
        <f>L57*0.0005</f>
        <v>53.410050000000005</v>
      </c>
      <c r="N57" s="4">
        <f>M57*0.5</f>
        <v>26.705025000000003</v>
      </c>
      <c r="O57" s="6">
        <f>N57*7.30</f>
        <v>194.9466825</v>
      </c>
      <c r="P57" s="6">
        <f>O57*12</f>
        <v>2339.3601900000003</v>
      </c>
      <c r="Q57" s="6">
        <f>J57+O57</f>
        <v>372.9801825</v>
      </c>
      <c r="R57" s="6">
        <f>K57+P57</f>
        <v>4475.76219</v>
      </c>
    </row>
    <row r="58" spans="1:18">
      <c r="A58" s="2" t="s">
        <v>61</v>
      </c>
      <c r="B58" s="3" t="s">
        <v>77</v>
      </c>
      <c r="C58" s="4">
        <v>116414</v>
      </c>
      <c r="D58" s="4">
        <v>3487</v>
      </c>
      <c r="E58" s="4">
        <f>C58</f>
        <v>116414</v>
      </c>
      <c r="F58" s="4">
        <f>E58*3</f>
        <v>349242</v>
      </c>
      <c r="G58" s="5">
        <v>0.1</v>
      </c>
      <c r="H58" s="4">
        <f>F58*G58</f>
        <v>34924.200000000004</v>
      </c>
      <c r="I58" s="6">
        <v>5</v>
      </c>
      <c r="J58" s="6">
        <f>H58/1000*I58</f>
        <v>174.62100000000004</v>
      </c>
      <c r="K58" s="6">
        <f>J58*12</f>
        <v>2095.452</v>
      </c>
      <c r="L58" s="4">
        <f>E58*(1-G58)</f>
        <v>104772.6</v>
      </c>
      <c r="M58" s="4">
        <f>L58*0.0005</f>
        <v>52.386300000000006</v>
      </c>
      <c r="N58" s="4">
        <f>M58*0.5</f>
        <v>26.193150000000003</v>
      </c>
      <c r="O58" s="6">
        <f>N58*7.30</f>
        <v>191.20999500000002</v>
      </c>
      <c r="P58" s="6">
        <f>O58*12</f>
        <v>2294.51994</v>
      </c>
      <c r="Q58" s="6">
        <f>J58+O58</f>
        <v>365.83099500000003</v>
      </c>
      <c r="R58" s="6">
        <f>K58+P58</f>
        <v>4389.97194</v>
      </c>
    </row>
    <row r="59" spans="1:18">
      <c r="A59" s="2" t="s">
        <v>61</v>
      </c>
      <c r="B59" s="3" t="s">
        <v>78</v>
      </c>
      <c r="C59" s="4">
        <v>106800</v>
      </c>
      <c r="D59" s="4">
        <v>3930</v>
      </c>
      <c r="E59" s="4">
        <f>C59</f>
        <v>106800</v>
      </c>
      <c r="F59" s="4">
        <f>E59*3</f>
        <v>320400</v>
      </c>
      <c r="G59" s="5">
        <v>0.1</v>
      </c>
      <c r="H59" s="4">
        <f>F59*G59</f>
        <v>32040.0</v>
      </c>
      <c r="I59" s="6">
        <v>5</v>
      </c>
      <c r="J59" s="6">
        <f>H59/1000*I59</f>
        <v>160.2</v>
      </c>
      <c r="K59" s="6">
        <f>J59*12</f>
        <v>1922.3999999999999</v>
      </c>
      <c r="L59" s="4">
        <f>E59*(1-G59)</f>
        <v>96120.0</v>
      </c>
      <c r="M59" s="4">
        <f>L59*0.0005</f>
        <v>48.06</v>
      </c>
      <c r="N59" s="4">
        <f>M59*0.5</f>
        <v>24.03</v>
      </c>
      <c r="O59" s="6">
        <f>N59*7.30</f>
        <v>175.419</v>
      </c>
      <c r="P59" s="6">
        <f>O59*12</f>
        <v>2105.0280000000002</v>
      </c>
      <c r="Q59" s="6">
        <f>J59+O59</f>
        <v>335.619</v>
      </c>
      <c r="R59" s="6">
        <f>K59+P59</f>
        <v>4027.428</v>
      </c>
    </row>
    <row r="60" spans="1:18">
      <c r="A60" s="2" t="s">
        <v>61</v>
      </c>
      <c r="B60" s="3" t="s">
        <v>79</v>
      </c>
      <c r="C60" s="4">
        <v>99018</v>
      </c>
      <c r="D60" s="4">
        <v>3244</v>
      </c>
      <c r="E60" s="4">
        <f>C60</f>
        <v>99018</v>
      </c>
      <c r="F60" s="4">
        <f>E60*3</f>
        <v>297054</v>
      </c>
      <c r="G60" s="5">
        <v>0.1</v>
      </c>
      <c r="H60" s="4">
        <f>F60*G60</f>
        <v>29705.4</v>
      </c>
      <c r="I60" s="6">
        <v>5</v>
      </c>
      <c r="J60" s="6">
        <f>H60/1000*I60</f>
        <v>148.52700000000002</v>
      </c>
      <c r="K60" s="6">
        <f>J60*12</f>
        <v>1782.324</v>
      </c>
      <c r="L60" s="4">
        <f>E60*(1-G60)</f>
        <v>89116.2</v>
      </c>
      <c r="M60" s="4">
        <f>L60*0.0005</f>
        <v>44.558099999999996</v>
      </c>
      <c r="N60" s="4">
        <f>M60*0.5</f>
        <v>22.279049999999998</v>
      </c>
      <c r="O60" s="6">
        <f>N60*7.30</f>
        <v>162.63706499999998</v>
      </c>
      <c r="P60" s="6">
        <f>O60*12</f>
        <v>1951.6447799999996</v>
      </c>
      <c r="Q60" s="6">
        <f>J60+O60</f>
        <v>311.164065</v>
      </c>
      <c r="R60" s="6">
        <f>K60+P60</f>
        <v>3733.9687799999997</v>
      </c>
    </row>
    <row r="61" spans="1:18">
      <c r="A61" s="2" t="s">
        <v>61</v>
      </c>
      <c r="B61" s="3" t="s">
        <v>80</v>
      </c>
      <c r="C61" s="4">
        <v>98015</v>
      </c>
      <c r="D61" s="4">
        <v>5405</v>
      </c>
      <c r="E61" s="4">
        <f>C61</f>
        <v>98015</v>
      </c>
      <c r="F61" s="4">
        <f>E61*3</f>
        <v>294045</v>
      </c>
      <c r="G61" s="5">
        <v>0.1</v>
      </c>
      <c r="H61" s="4">
        <f>F61*G61</f>
        <v>29404.5</v>
      </c>
      <c r="I61" s="6">
        <v>5</v>
      </c>
      <c r="J61" s="6">
        <f>H61/1000*I61</f>
        <v>147.02249999999998</v>
      </c>
      <c r="K61" s="6">
        <f>J61*12</f>
        <v>1764.2699999999998</v>
      </c>
      <c r="L61" s="4">
        <f>E61*(1-G61)</f>
        <v>88213.5</v>
      </c>
      <c r="M61" s="4">
        <f>L61*0.0005</f>
        <v>44.10675</v>
      </c>
      <c r="N61" s="4">
        <f>M61*0.5</f>
        <v>22.053375</v>
      </c>
      <c r="O61" s="6">
        <f>N61*7.30</f>
        <v>160.9896375</v>
      </c>
      <c r="P61" s="6">
        <f>O61*12</f>
        <v>1931.87565</v>
      </c>
      <c r="Q61" s="6">
        <f>J61+O61</f>
        <v>308.0121375</v>
      </c>
      <c r="R61" s="6">
        <f>K61+P61</f>
        <v>3696.1456499999995</v>
      </c>
    </row>
    <row r="62" spans="1:18">
      <c r="A62" s="2" t="s">
        <v>61</v>
      </c>
      <c r="B62" s="3" t="s">
        <v>81</v>
      </c>
      <c r="C62" s="4">
        <v>74296</v>
      </c>
      <c r="D62" s="4">
        <v>3638</v>
      </c>
      <c r="E62" s="4">
        <f>C62</f>
        <v>74296</v>
      </c>
      <c r="F62" s="4">
        <f>E62*3</f>
        <v>222888</v>
      </c>
      <c r="G62" s="5">
        <v>0.1</v>
      </c>
      <c r="H62" s="4">
        <f>F62*G62</f>
        <v>22288.800000000003</v>
      </c>
      <c r="I62" s="6">
        <v>5</v>
      </c>
      <c r="J62" s="6">
        <f>H62/1000*I62</f>
        <v>111.44400000000002</v>
      </c>
      <c r="K62" s="6">
        <f>J62*12</f>
        <v>1337.3280000000002</v>
      </c>
      <c r="L62" s="4">
        <f>E62*(1-G62)</f>
        <v>66866.40000000001</v>
      </c>
      <c r="M62" s="4">
        <f>L62*0.0005</f>
        <v>33.43320000000001</v>
      </c>
      <c r="N62" s="4">
        <f>M62*0.5</f>
        <v>16.716600000000003</v>
      </c>
      <c r="O62" s="6">
        <f>N62*7.30</f>
        <v>122.03118000000002</v>
      </c>
      <c r="P62" s="6">
        <f>O62*12</f>
        <v>1464.3741600000003</v>
      </c>
      <c r="Q62" s="6">
        <f>J62+O62</f>
        <v>233.47518000000002</v>
      </c>
      <c r="R62" s="6">
        <f>K62+P62</f>
        <v>2801.7021600000007</v>
      </c>
    </row>
    <row r="63" spans="1:18">
      <c r="A63" s="2" t="s">
        <v>61</v>
      </c>
      <c r="B63" s="3" t="s">
        <v>82</v>
      </c>
      <c r="C63" s="4">
        <v>72287</v>
      </c>
      <c r="D63" s="4">
        <v>2387</v>
      </c>
      <c r="E63" s="4">
        <f>C63</f>
        <v>72287</v>
      </c>
      <c r="F63" s="4">
        <f>E63*3</f>
        <v>216861</v>
      </c>
      <c r="G63" s="5">
        <v>0.1</v>
      </c>
      <c r="H63" s="4">
        <f>F63*G63</f>
        <v>21686.100000000002</v>
      </c>
      <c r="I63" s="6">
        <v>5</v>
      </c>
      <c r="J63" s="6">
        <f>H63/1000*I63</f>
        <v>108.43050000000002</v>
      </c>
      <c r="K63" s="6">
        <f>J63*12</f>
        <v>1301.1660000000002</v>
      </c>
      <c r="L63" s="4">
        <f>E63*(1-G63)</f>
        <v>65058.3</v>
      </c>
      <c r="M63" s="4">
        <f>L63*0.0005</f>
        <v>32.52915</v>
      </c>
      <c r="N63" s="4">
        <f>M63*0.5</f>
        <v>16.264575</v>
      </c>
      <c r="O63" s="6">
        <f>N63*7.30</f>
        <v>118.7313975</v>
      </c>
      <c r="P63" s="6">
        <f>O63*12</f>
        <v>1424.77677</v>
      </c>
      <c r="Q63" s="6">
        <f>J63+O63</f>
        <v>227.1618975</v>
      </c>
      <c r="R63" s="6">
        <f>K63+P63</f>
        <v>2725.94277</v>
      </c>
    </row>
    <row r="64" spans="1:18">
      <c r="A64" s="2" t="s">
        <v>61</v>
      </c>
      <c r="B64" s="3" t="s">
        <v>83</v>
      </c>
      <c r="C64" s="4">
        <v>66653</v>
      </c>
      <c r="D64" s="4">
        <v>2685</v>
      </c>
      <c r="E64" s="4">
        <f>C64</f>
        <v>66653</v>
      </c>
      <c r="F64" s="4">
        <f>E64*3</f>
        <v>199959</v>
      </c>
      <c r="G64" s="5">
        <v>0.1</v>
      </c>
      <c r="H64" s="4">
        <f>F64*G64</f>
        <v>19995.9</v>
      </c>
      <c r="I64" s="6">
        <v>5</v>
      </c>
      <c r="J64" s="6">
        <f>H64/1000*I64</f>
        <v>99.97950000000002</v>
      </c>
      <c r="K64" s="6">
        <f>J64*12</f>
        <v>1199.7540000000001</v>
      </c>
      <c r="L64" s="4">
        <f>E64*(1-G64)</f>
        <v>59987.700000000004</v>
      </c>
      <c r="M64" s="4">
        <f>L64*0.0005</f>
        <v>29.993850000000002</v>
      </c>
      <c r="N64" s="4">
        <f>M64*0.5</f>
        <v>14.996925000000001</v>
      </c>
      <c r="O64" s="6">
        <f>N64*7.30</f>
        <v>109.4775525</v>
      </c>
      <c r="P64" s="6">
        <f>O64*12</f>
        <v>1313.73063</v>
      </c>
      <c r="Q64" s="6">
        <f>J64+O64</f>
        <v>209.45705250000003</v>
      </c>
      <c r="R64" s="6">
        <f>K64+P64</f>
        <v>2513.48463</v>
      </c>
    </row>
    <row r="65" spans="1:18">
      <c r="A65" s="2" t="s">
        <v>61</v>
      </c>
      <c r="B65" s="3" t="s">
        <v>84</v>
      </c>
      <c r="C65" s="4">
        <v>60278</v>
      </c>
      <c r="D65" s="4">
        <v>2037</v>
      </c>
      <c r="E65" s="4">
        <f>C65</f>
        <v>60278</v>
      </c>
      <c r="F65" s="4">
        <f>E65*3</f>
        <v>180834</v>
      </c>
      <c r="G65" s="5">
        <v>0.1</v>
      </c>
      <c r="H65" s="4">
        <f>F65*G65</f>
        <v>18083.4</v>
      </c>
      <c r="I65" s="6">
        <v>5</v>
      </c>
      <c r="J65" s="6">
        <f>H65/1000*I65</f>
        <v>90.417</v>
      </c>
      <c r="K65" s="6">
        <f>J65*12</f>
        <v>1085.004</v>
      </c>
      <c r="L65" s="4">
        <f>E65*(1-G65)</f>
        <v>54250.200000000004</v>
      </c>
      <c r="M65" s="4">
        <f>L65*0.0005</f>
        <v>27.125100000000003</v>
      </c>
      <c r="N65" s="4">
        <f>M65*0.5</f>
        <v>13.562550000000002</v>
      </c>
      <c r="O65" s="6">
        <f>N65*7.30</f>
        <v>99.00661500000001</v>
      </c>
      <c r="P65" s="6">
        <f>O65*12</f>
        <v>1188.0793800000001</v>
      </c>
      <c r="Q65" s="6">
        <f>J65+O65</f>
        <v>189.423615</v>
      </c>
      <c r="R65" s="6">
        <f>K65+P65</f>
        <v>2273.08338</v>
      </c>
    </row>
    <row r="66" spans="1:18">
      <c r="A66" s="2" t="s">
        <v>61</v>
      </c>
      <c r="B66" s="3" t="s">
        <v>85</v>
      </c>
      <c r="C66" s="4">
        <v>59903</v>
      </c>
      <c r="D66" s="4">
        <v>3059</v>
      </c>
      <c r="E66" s="4">
        <f>C66</f>
        <v>59903</v>
      </c>
      <c r="F66" s="4">
        <f>E66*3</f>
        <v>179709</v>
      </c>
      <c r="G66" s="5">
        <v>0.1</v>
      </c>
      <c r="H66" s="4">
        <f>F66*G66</f>
        <v>17970.9</v>
      </c>
      <c r="I66" s="6">
        <v>5</v>
      </c>
      <c r="J66" s="6">
        <f>H66/1000*I66</f>
        <v>89.8545</v>
      </c>
      <c r="K66" s="6">
        <f>J66*12</f>
        <v>1078.254</v>
      </c>
      <c r="L66" s="4">
        <f>E66*(1-G66)</f>
        <v>53912.700000000004</v>
      </c>
      <c r="M66" s="4">
        <f>L66*0.0005</f>
        <v>26.956350000000004</v>
      </c>
      <c r="N66" s="4">
        <f>M66*0.5</f>
        <v>13.478175000000002</v>
      </c>
      <c r="O66" s="6">
        <f>N66*7.30</f>
        <v>98.39067750000001</v>
      </c>
      <c r="P66" s="6">
        <f>O66*12</f>
        <v>1180.68813</v>
      </c>
      <c r="Q66" s="6">
        <f>J66+O66</f>
        <v>188.2451775</v>
      </c>
      <c r="R66" s="6">
        <f>K66+P66</f>
        <v>2258.94213</v>
      </c>
    </row>
    <row r="67" spans="1:18">
      <c r="A67" s="2" t="s">
        <v>61</v>
      </c>
      <c r="B67" s="3" t="s">
        <v>86</v>
      </c>
      <c r="C67" s="4">
        <v>54811</v>
      </c>
      <c r="D67" s="4">
        <v>3296</v>
      </c>
      <c r="E67" s="4">
        <f>C67</f>
        <v>54811</v>
      </c>
      <c r="F67" s="4">
        <f>E67*3</f>
        <v>164433</v>
      </c>
      <c r="G67" s="5">
        <v>0.1</v>
      </c>
      <c r="H67" s="4">
        <f>F67*G67</f>
        <v>16443.3</v>
      </c>
      <c r="I67" s="6">
        <v>5</v>
      </c>
      <c r="J67" s="6">
        <f>H67/1000*I67</f>
        <v>82.2165</v>
      </c>
      <c r="K67" s="6">
        <f>J67*12</f>
        <v>986.598</v>
      </c>
      <c r="L67" s="4">
        <f>E67*(1-G67)</f>
        <v>49329.9</v>
      </c>
      <c r="M67" s="4">
        <f>L67*0.0005</f>
        <v>24.66495</v>
      </c>
      <c r="N67" s="4">
        <f>M67*0.5</f>
        <v>12.332475</v>
      </c>
      <c r="O67" s="6">
        <f>N67*7.30</f>
        <v>90.0270675</v>
      </c>
      <c r="P67" s="6">
        <f>O67*12</f>
        <v>1080.32481</v>
      </c>
      <c r="Q67" s="6">
        <f>J67+O67</f>
        <v>172.24356749999998</v>
      </c>
      <c r="R67" s="6">
        <f>K67+P67</f>
        <v>2066.92281</v>
      </c>
    </row>
    <row r="68" spans="1:18">
      <c r="A68" s="2" t="s">
        <v>61</v>
      </c>
      <c r="B68" s="3" t="s">
        <v>87</v>
      </c>
      <c r="C68" s="4">
        <v>50902</v>
      </c>
      <c r="D68" s="4">
        <v>3077</v>
      </c>
      <c r="E68" s="4">
        <f>C68</f>
        <v>50902</v>
      </c>
      <c r="F68" s="4">
        <f>E68*3</f>
        <v>152706</v>
      </c>
      <c r="G68" s="5">
        <v>0.1</v>
      </c>
      <c r="H68" s="4">
        <f>F68*G68</f>
        <v>15270.6</v>
      </c>
      <c r="I68" s="6">
        <v>5</v>
      </c>
      <c r="J68" s="6">
        <f>H68/1000*I68</f>
        <v>76.353</v>
      </c>
      <c r="K68" s="6">
        <f>J68*12</f>
        <v>916.2359999999999</v>
      </c>
      <c r="L68" s="4">
        <f>E68*(1-G68)</f>
        <v>45811.8</v>
      </c>
      <c r="M68" s="4">
        <f>L68*0.0005</f>
        <v>22.905900000000003</v>
      </c>
      <c r="N68" s="4">
        <f>M68*0.5</f>
        <v>11.452950000000001</v>
      </c>
      <c r="O68" s="6">
        <f>N68*7.30</f>
        <v>83.60653500000001</v>
      </c>
      <c r="P68" s="6">
        <f>O68*12</f>
        <v>1003.2784200000001</v>
      </c>
      <c r="Q68" s="6">
        <f>J68+O68</f>
        <v>159.95953500000002</v>
      </c>
      <c r="R68" s="6">
        <f>K68+P68</f>
        <v>1919.51442</v>
      </c>
    </row>
    <row r="69" spans="1:18">
      <c r="A69" s="2" t="s">
        <v>61</v>
      </c>
      <c r="B69" s="3" t="s">
        <v>88</v>
      </c>
      <c r="C69" s="4">
        <v>48552</v>
      </c>
      <c r="D69" s="4">
        <v>3099</v>
      </c>
      <c r="E69" s="4">
        <f>C69</f>
        <v>48552</v>
      </c>
      <c r="F69" s="4">
        <f>E69*3</f>
        <v>145656</v>
      </c>
      <c r="G69" s="5">
        <v>0.1</v>
      </c>
      <c r="H69" s="4">
        <f>F69*G69</f>
        <v>14565.6</v>
      </c>
      <c r="I69" s="6">
        <v>5</v>
      </c>
      <c r="J69" s="6">
        <f>H69/1000*I69</f>
        <v>72.828</v>
      </c>
      <c r="K69" s="6">
        <f>J69*12</f>
        <v>873.936</v>
      </c>
      <c r="L69" s="4">
        <f>E69*(1-G69)</f>
        <v>43696.8</v>
      </c>
      <c r="M69" s="4">
        <f>L69*0.0005</f>
        <v>21.8484</v>
      </c>
      <c r="N69" s="4">
        <f>M69*0.5</f>
        <v>10.9242</v>
      </c>
      <c r="O69" s="6">
        <f>N69*7.30</f>
        <v>79.74666</v>
      </c>
      <c r="P69" s="6">
        <f>O69*12</f>
        <v>956.95992</v>
      </c>
      <c r="Q69" s="6">
        <f>J69+O69</f>
        <v>152.57466</v>
      </c>
      <c r="R69" s="6">
        <f>K69+P69</f>
        <v>1830.89592</v>
      </c>
    </row>
    <row r="70" spans="1:18">
      <c r="A70" s="2" t="s">
        <v>61</v>
      </c>
      <c r="B70" s="3" t="s">
        <v>89</v>
      </c>
      <c r="C70" s="4">
        <v>48107</v>
      </c>
      <c r="D70" s="4">
        <v>2588</v>
      </c>
      <c r="E70" s="4">
        <f>C70</f>
        <v>48107</v>
      </c>
      <c r="F70" s="4">
        <f>E70*3</f>
        <v>144321</v>
      </c>
      <c r="G70" s="5">
        <v>0.1</v>
      </c>
      <c r="H70" s="4">
        <f>F70*G70</f>
        <v>14432.1</v>
      </c>
      <c r="I70" s="6">
        <v>5</v>
      </c>
      <c r="J70" s="6">
        <f>H70/1000*I70</f>
        <v>72.1605</v>
      </c>
      <c r="K70" s="6">
        <f>J70*12</f>
        <v>865.9259999999999</v>
      </c>
      <c r="L70" s="4">
        <f>E70*(1-G70)</f>
        <v>43296.3</v>
      </c>
      <c r="M70" s="4">
        <f>L70*0.0005</f>
        <v>21.64815</v>
      </c>
      <c r="N70" s="4">
        <f>M70*0.5</f>
        <v>10.824075</v>
      </c>
      <c r="O70" s="6">
        <f>N70*7.30</f>
        <v>79.0157475</v>
      </c>
      <c r="P70" s="6">
        <f>O70*12</f>
        <v>948.18897</v>
      </c>
      <c r="Q70" s="6">
        <f>J70+O70</f>
        <v>151.1762475</v>
      </c>
      <c r="R70" s="6">
        <f>K70+P70</f>
        <v>1814.11497</v>
      </c>
    </row>
    <row r="71" spans="1:18">
      <c r="A71" s="2" t="s">
        <v>61</v>
      </c>
      <c r="B71" s="3" t="s">
        <v>90</v>
      </c>
      <c r="C71" s="4">
        <v>45989</v>
      </c>
      <c r="D71" s="4">
        <v>1447</v>
      </c>
      <c r="E71" s="4">
        <f>C71</f>
        <v>45989</v>
      </c>
      <c r="F71" s="4">
        <f>E71*3</f>
        <v>137967</v>
      </c>
      <c r="G71" s="5">
        <v>0.1</v>
      </c>
      <c r="H71" s="4">
        <f>F71*G71</f>
        <v>13796.7</v>
      </c>
      <c r="I71" s="6">
        <v>5</v>
      </c>
      <c r="J71" s="6">
        <f>H71/1000*I71</f>
        <v>68.9835</v>
      </c>
      <c r="K71" s="6">
        <f>J71*12</f>
        <v>827.8020000000001</v>
      </c>
      <c r="L71" s="4">
        <f>E71*(1-G71)</f>
        <v>41390.1</v>
      </c>
      <c r="M71" s="4">
        <f>L71*0.0005</f>
        <v>20.69505</v>
      </c>
      <c r="N71" s="4">
        <f>M71*0.5</f>
        <v>10.347525</v>
      </c>
      <c r="O71" s="6">
        <f>N71*7.30</f>
        <v>75.53693249999999</v>
      </c>
      <c r="P71" s="6">
        <f>O71*12</f>
        <v>906.44319</v>
      </c>
      <c r="Q71" s="6">
        <f>J71+O71</f>
        <v>144.5204325</v>
      </c>
      <c r="R71" s="6">
        <f>K71+P71</f>
        <v>1734.24519</v>
      </c>
    </row>
    <row r="72" spans="1:18">
      <c r="A72" s="2" t="s">
        <v>61</v>
      </c>
      <c r="B72" s="3" t="s">
        <v>91</v>
      </c>
      <c r="C72" s="4">
        <v>43080</v>
      </c>
      <c r="D72" s="4">
        <v>3453</v>
      </c>
      <c r="E72" s="4">
        <f>C72</f>
        <v>43080</v>
      </c>
      <c r="F72" s="4">
        <f>E72*3</f>
        <v>129240</v>
      </c>
      <c r="G72" s="5">
        <v>0.1</v>
      </c>
      <c r="H72" s="4">
        <f>F72*G72</f>
        <v>12924.0</v>
      </c>
      <c r="I72" s="6">
        <v>5</v>
      </c>
      <c r="J72" s="6">
        <f>H72/1000*I72</f>
        <v>64.62</v>
      </c>
      <c r="K72" s="6">
        <f>J72*12</f>
        <v>775.44</v>
      </c>
      <c r="L72" s="4">
        <f>E72*(1-G72)</f>
        <v>38772.0</v>
      </c>
      <c r="M72" s="4">
        <f>L72*0.0005</f>
        <v>19.386</v>
      </c>
      <c r="N72" s="4">
        <f>M72*0.5</f>
        <v>9.693</v>
      </c>
      <c r="O72" s="6">
        <f>N72*7.30</f>
        <v>70.7589</v>
      </c>
      <c r="P72" s="6">
        <f>O72*12</f>
        <v>849.1068</v>
      </c>
      <c r="Q72" s="6">
        <f>J72+O72</f>
        <v>135.3789</v>
      </c>
      <c r="R72" s="6">
        <f>K72+P72</f>
        <v>1624.5468</v>
      </c>
    </row>
    <row r="73" spans="1:18">
      <c r="A73" s="2" t="s">
        <v>61</v>
      </c>
      <c r="B73" s="3" t="s">
        <v>92</v>
      </c>
      <c r="C73" s="4">
        <v>42280</v>
      </c>
      <c r="D73" s="4">
        <v>2652</v>
      </c>
      <c r="E73" s="4">
        <f>C73</f>
        <v>42280</v>
      </c>
      <c r="F73" s="4">
        <f>E73*3</f>
        <v>126840</v>
      </c>
      <c r="G73" s="5">
        <v>0.1</v>
      </c>
      <c r="H73" s="4">
        <f>F73*G73</f>
        <v>12684.0</v>
      </c>
      <c r="I73" s="6">
        <v>5</v>
      </c>
      <c r="J73" s="6">
        <f>H73/1000*I73</f>
        <v>63.419999999999995</v>
      </c>
      <c r="K73" s="6">
        <f>J73*12</f>
        <v>761.04</v>
      </c>
      <c r="L73" s="4">
        <f>E73*(1-G73)</f>
        <v>38052.0</v>
      </c>
      <c r="M73" s="4">
        <f>L73*0.0005</f>
        <v>19.026</v>
      </c>
      <c r="N73" s="4">
        <f>M73*0.5</f>
        <v>9.513</v>
      </c>
      <c r="O73" s="6">
        <f>N73*7.30</f>
        <v>69.4449</v>
      </c>
      <c r="P73" s="6">
        <f>O73*12</f>
        <v>833.3388</v>
      </c>
      <c r="Q73" s="6">
        <f>J73+O73</f>
        <v>132.8649</v>
      </c>
      <c r="R73" s="6">
        <f>K73+P73</f>
        <v>1594.3788</v>
      </c>
    </row>
    <row r="74" spans="1:18">
      <c r="A74" s="2" t="s">
        <v>61</v>
      </c>
      <c r="B74" s="3" t="s">
        <v>93</v>
      </c>
      <c r="C74" s="4">
        <v>42117</v>
      </c>
      <c r="D74" s="4">
        <v>2518</v>
      </c>
      <c r="E74" s="4">
        <f>C74</f>
        <v>42117</v>
      </c>
      <c r="F74" s="4">
        <f>E74*3</f>
        <v>126351</v>
      </c>
      <c r="G74" s="5">
        <v>0.1</v>
      </c>
      <c r="H74" s="4">
        <f>F74*G74</f>
        <v>12635.1</v>
      </c>
      <c r="I74" s="6">
        <v>5</v>
      </c>
      <c r="J74" s="6">
        <f>H74/1000*I74</f>
        <v>63.1755</v>
      </c>
      <c r="K74" s="6">
        <f>J74*12</f>
        <v>758.106</v>
      </c>
      <c r="L74" s="4">
        <f>E74*(1-G74)</f>
        <v>37905.3</v>
      </c>
      <c r="M74" s="4">
        <f>L74*0.0005</f>
        <v>18.952650000000002</v>
      </c>
      <c r="N74" s="4">
        <f>M74*0.5</f>
        <v>9.476325000000001</v>
      </c>
      <c r="O74" s="6">
        <f>N74*7.30</f>
        <v>69.17717250000001</v>
      </c>
      <c r="P74" s="6">
        <f>O74*12</f>
        <v>830.1260700000001</v>
      </c>
      <c r="Q74" s="6">
        <f>J74+O74</f>
        <v>132.3526725</v>
      </c>
      <c r="R74" s="6">
        <f>K74+P74</f>
        <v>1588.23207</v>
      </c>
    </row>
    <row r="75" spans="1:18">
      <c r="A75" s="2" t="s">
        <v>61</v>
      </c>
      <c r="B75" s="3" t="s">
        <v>94</v>
      </c>
      <c r="C75" s="4">
        <v>34023</v>
      </c>
      <c r="D75" s="4">
        <v>1267</v>
      </c>
      <c r="E75" s="4">
        <f>C75</f>
        <v>34023</v>
      </c>
      <c r="F75" s="4">
        <f>E75*3</f>
        <v>102069</v>
      </c>
      <c r="G75" s="5">
        <v>0.1</v>
      </c>
      <c r="H75" s="4">
        <f>F75*G75</f>
        <v>10206.900000000001</v>
      </c>
      <c r="I75" s="6">
        <v>5</v>
      </c>
      <c r="J75" s="6">
        <f>H75/1000*I75</f>
        <v>51.03450000000001</v>
      </c>
      <c r="K75" s="6">
        <f>J75*12</f>
        <v>612.4140000000001</v>
      </c>
      <c r="L75" s="4">
        <f>E75*(1-G75)</f>
        <v>30620.7</v>
      </c>
      <c r="M75" s="4">
        <f>L75*0.0005</f>
        <v>15.310350000000001</v>
      </c>
      <c r="N75" s="4">
        <f>M75*0.5</f>
        <v>7.655175000000001</v>
      </c>
      <c r="O75" s="6">
        <f>N75*7.30</f>
        <v>55.8827775</v>
      </c>
      <c r="P75" s="6">
        <f>O75*12</f>
        <v>670.59333</v>
      </c>
      <c r="Q75" s="6">
        <f>J75+O75</f>
        <v>106.91727750000001</v>
      </c>
      <c r="R75" s="6">
        <f>K75+P75</f>
        <v>1283.0073300000001</v>
      </c>
    </row>
    <row r="76" spans="1:18">
      <c r="A76" s="2" t="s">
        <v>61</v>
      </c>
      <c r="B76" s="3" t="s">
        <v>95</v>
      </c>
      <c r="C76" s="4">
        <v>29288</v>
      </c>
      <c r="D76" s="4">
        <v>3801</v>
      </c>
      <c r="E76" s="4">
        <f>C76</f>
        <v>29288</v>
      </c>
      <c r="F76" s="4">
        <f>E76*3</f>
        <v>87864</v>
      </c>
      <c r="G76" s="5">
        <v>0.1</v>
      </c>
      <c r="H76" s="4">
        <f>F76*G76</f>
        <v>8786.4</v>
      </c>
      <c r="I76" s="6">
        <v>5</v>
      </c>
      <c r="J76" s="6">
        <f>H76/1000*I76</f>
        <v>43.932</v>
      </c>
      <c r="K76" s="6">
        <f>J76*12</f>
        <v>527.184</v>
      </c>
      <c r="L76" s="4">
        <f>E76*(1-G76)</f>
        <v>26359.2</v>
      </c>
      <c r="M76" s="4">
        <f>L76*0.0005</f>
        <v>13.1796</v>
      </c>
      <c r="N76" s="4">
        <f>M76*0.5</f>
        <v>6.5898</v>
      </c>
      <c r="O76" s="6">
        <f>N76*7.30</f>
        <v>48.10554</v>
      </c>
      <c r="P76" s="6">
        <f>O76*12</f>
        <v>577.26648</v>
      </c>
      <c r="Q76" s="6">
        <f>J76+O76</f>
        <v>92.03754</v>
      </c>
      <c r="R76" s="6">
        <f>K76+P76</f>
        <v>1104.45048</v>
      </c>
    </row>
    <row r="77" spans="1:18">
      <c r="A77" s="2" t="s">
        <v>61</v>
      </c>
      <c r="B77" s="3" t="s">
        <v>96</v>
      </c>
      <c r="C77" s="4">
        <v>29138</v>
      </c>
      <c r="D77" s="4">
        <v>1603</v>
      </c>
      <c r="E77" s="4">
        <f>C77</f>
        <v>29138</v>
      </c>
      <c r="F77" s="4">
        <f>E77*3</f>
        <v>87414</v>
      </c>
      <c r="G77" s="5">
        <v>0.1</v>
      </c>
      <c r="H77" s="4">
        <f>F77*G77</f>
        <v>8741.4</v>
      </c>
      <c r="I77" s="6">
        <v>5</v>
      </c>
      <c r="J77" s="6">
        <f>H77/1000*I77</f>
        <v>43.707</v>
      </c>
      <c r="K77" s="6">
        <f>J77*12</f>
        <v>524.484</v>
      </c>
      <c r="L77" s="4">
        <f>E77*(1-G77)</f>
        <v>26224.2</v>
      </c>
      <c r="M77" s="4">
        <f>L77*0.0005</f>
        <v>13.1121</v>
      </c>
      <c r="N77" s="4">
        <f>M77*0.5</f>
        <v>6.55605</v>
      </c>
      <c r="O77" s="6">
        <f>N77*7.30</f>
        <v>47.859165</v>
      </c>
      <c r="P77" s="6">
        <f>O77*12</f>
        <v>574.30998</v>
      </c>
      <c r="Q77" s="6">
        <f>J77+O77</f>
        <v>91.566165</v>
      </c>
      <c r="R77" s="6">
        <f>K77+P77</f>
        <v>1098.79398</v>
      </c>
    </row>
    <row r="78" spans="1:18">
      <c r="A78" s="2" t="s">
        <v>61</v>
      </c>
      <c r="B78" s="3" t="s">
        <v>97</v>
      </c>
      <c r="C78" s="4">
        <v>28595</v>
      </c>
      <c r="D78" s="4">
        <v>1109</v>
      </c>
      <c r="E78" s="4">
        <f>C78</f>
        <v>28595</v>
      </c>
      <c r="F78" s="4">
        <f>E78*3</f>
        <v>85785</v>
      </c>
      <c r="G78" s="5">
        <v>0.1</v>
      </c>
      <c r="H78" s="4">
        <f>F78*G78</f>
        <v>8578.5</v>
      </c>
      <c r="I78" s="6">
        <v>5</v>
      </c>
      <c r="J78" s="6">
        <f>H78/1000*I78</f>
        <v>42.8925</v>
      </c>
      <c r="K78" s="6">
        <f>J78*12</f>
        <v>514.71</v>
      </c>
      <c r="L78" s="4">
        <f>E78*(1-G78)</f>
        <v>25735.5</v>
      </c>
      <c r="M78" s="4">
        <f>L78*0.0005</f>
        <v>12.867750000000001</v>
      </c>
      <c r="N78" s="4">
        <f>M78*0.5</f>
        <v>6.4338750000000005</v>
      </c>
      <c r="O78" s="6">
        <f>N78*7.30</f>
        <v>46.967287500000005</v>
      </c>
      <c r="P78" s="6">
        <f>O78*12</f>
        <v>563.6074500000001</v>
      </c>
      <c r="Q78" s="6">
        <f>J78+O78</f>
        <v>89.85978750000001</v>
      </c>
      <c r="R78" s="6">
        <f>K78+P78</f>
        <v>1078.31745</v>
      </c>
    </row>
    <row r="79" spans="1:18">
      <c r="A79" s="2" t="s">
        <v>61</v>
      </c>
      <c r="B79" s="3" t="s">
        <v>98</v>
      </c>
      <c r="C79" s="4">
        <v>28142</v>
      </c>
      <c r="D79" s="4">
        <v>2560</v>
      </c>
      <c r="E79" s="4">
        <f>C79</f>
        <v>28142</v>
      </c>
      <c r="F79" s="4">
        <f>E79*3</f>
        <v>84426</v>
      </c>
      <c r="G79" s="5">
        <v>0.1</v>
      </c>
      <c r="H79" s="4">
        <f>F79*G79</f>
        <v>8442.6</v>
      </c>
      <c r="I79" s="6">
        <v>5</v>
      </c>
      <c r="J79" s="6">
        <f>H79/1000*I79</f>
        <v>42.213</v>
      </c>
      <c r="K79" s="6">
        <f>J79*12</f>
        <v>506.55600000000004</v>
      </c>
      <c r="L79" s="4">
        <f>E79*(1-G79)</f>
        <v>25327.8</v>
      </c>
      <c r="M79" s="4">
        <f>L79*0.0005</f>
        <v>12.6639</v>
      </c>
      <c r="N79" s="4">
        <f>M79*0.5</f>
        <v>6.33195</v>
      </c>
      <c r="O79" s="6">
        <f>N79*7.30</f>
        <v>46.223234999999995</v>
      </c>
      <c r="P79" s="6">
        <f>O79*12</f>
        <v>554.67882</v>
      </c>
      <c r="Q79" s="6">
        <f>J79+O79</f>
        <v>88.436235</v>
      </c>
      <c r="R79" s="6">
        <f>K79+P79</f>
        <v>1061.2348200000001</v>
      </c>
    </row>
    <row r="80" spans="1:18">
      <c r="A80" s="2" t="s">
        <v>61</v>
      </c>
      <c r="B80" s="3" t="s">
        <v>99</v>
      </c>
      <c r="C80" s="4">
        <v>20609</v>
      </c>
      <c r="D80" s="4">
        <v>1116</v>
      </c>
      <c r="E80" s="4">
        <f>C80</f>
        <v>20609</v>
      </c>
      <c r="F80" s="4">
        <f>E80*3</f>
        <v>61827</v>
      </c>
      <c r="G80" s="5">
        <v>0.1</v>
      </c>
      <c r="H80" s="4">
        <f>F80*G80</f>
        <v>6182.700000000001</v>
      </c>
      <c r="I80" s="6">
        <v>5</v>
      </c>
      <c r="J80" s="6">
        <f>H80/1000*I80</f>
        <v>30.913500000000003</v>
      </c>
      <c r="K80" s="6">
        <f>J80*12</f>
        <v>370.96200000000005</v>
      </c>
      <c r="L80" s="4">
        <f>E80*(1-G80)</f>
        <v>18548.100000000002</v>
      </c>
      <c r="M80" s="4">
        <f>L80*0.0005</f>
        <v>9.27405</v>
      </c>
      <c r="N80" s="4">
        <f>M80*0.5</f>
        <v>4.637025</v>
      </c>
      <c r="O80" s="6">
        <f>N80*7.30</f>
        <v>33.8502825</v>
      </c>
      <c r="P80" s="6">
        <f>O80*12</f>
        <v>406.20339</v>
      </c>
      <c r="Q80" s="6">
        <f>J80+O80</f>
        <v>64.7637825</v>
      </c>
      <c r="R80" s="6">
        <f>K80+P80</f>
        <v>777.1653900000001</v>
      </c>
    </row>
    <row r="81" spans="1:18">
      <c r="A81" s="2" t="s">
        <v>61</v>
      </c>
      <c r="B81" s="3" t="s">
        <v>100</v>
      </c>
      <c r="C81" s="4">
        <v>19450</v>
      </c>
      <c r="D81" s="4">
        <v>861</v>
      </c>
      <c r="E81" s="4">
        <f>C81</f>
        <v>19450</v>
      </c>
      <c r="F81" s="4">
        <f>E81*3</f>
        <v>58350</v>
      </c>
      <c r="G81" s="5">
        <v>0.1</v>
      </c>
      <c r="H81" s="4">
        <f>F81*G81</f>
        <v>5835.0</v>
      </c>
      <c r="I81" s="6">
        <v>5</v>
      </c>
      <c r="J81" s="6">
        <f>H81/1000*I81</f>
        <v>29.175</v>
      </c>
      <c r="K81" s="6">
        <f>J81*12</f>
        <v>350.1</v>
      </c>
      <c r="L81" s="4">
        <f>E81*(1-G81)</f>
        <v>17505.0</v>
      </c>
      <c r="M81" s="4">
        <f>L81*0.0005</f>
        <v>8.7525</v>
      </c>
      <c r="N81" s="4">
        <f>M81*0.5</f>
        <v>4.37625</v>
      </c>
      <c r="O81" s="6">
        <f>N81*7.30</f>
        <v>31.946624999999997</v>
      </c>
      <c r="P81" s="6">
        <f>O81*12</f>
        <v>383.35949999999997</v>
      </c>
      <c r="Q81" s="6">
        <f>J81+O81</f>
        <v>61.121624999999995</v>
      </c>
      <c r="R81" s="6">
        <f>K81+P81</f>
        <v>733.4594999999999</v>
      </c>
    </row>
    <row r="82" spans="1:18">
      <c r="A82" s="2" t="s">
        <v>61</v>
      </c>
      <c r="B82" s="3" t="s">
        <v>101</v>
      </c>
      <c r="C82" s="4">
        <v>18149</v>
      </c>
      <c r="D82" s="4">
        <v>603</v>
      </c>
      <c r="E82" s="4">
        <f>C82</f>
        <v>18149</v>
      </c>
      <c r="F82" s="4">
        <f>E82*3</f>
        <v>54447</v>
      </c>
      <c r="G82" s="5">
        <v>0.1</v>
      </c>
      <c r="H82" s="4">
        <f>F82*G82</f>
        <v>5444.700000000001</v>
      </c>
      <c r="I82" s="6">
        <v>5</v>
      </c>
      <c r="J82" s="6">
        <f>H82/1000*I82</f>
        <v>27.223500000000005</v>
      </c>
      <c r="K82" s="6">
        <f>J82*12</f>
        <v>326.6820000000001</v>
      </c>
      <c r="L82" s="4">
        <f>E82*(1-G82)</f>
        <v>16334.1</v>
      </c>
      <c r="M82" s="4">
        <f>L82*0.0005</f>
        <v>8.16705</v>
      </c>
      <c r="N82" s="4">
        <f>M82*0.5</f>
        <v>4.083525</v>
      </c>
      <c r="O82" s="6">
        <f>N82*7.30</f>
        <v>29.8097325</v>
      </c>
      <c r="P82" s="6">
        <f>O82*12</f>
        <v>357.71679</v>
      </c>
      <c r="Q82" s="6">
        <f>J82+O82</f>
        <v>57.033232500000004</v>
      </c>
      <c r="R82" s="6">
        <f>K82+P82</f>
        <v>684.3987900000001</v>
      </c>
    </row>
    <row r="83" spans="1:18">
      <c r="A83" s="2" t="s">
        <v>61</v>
      </c>
      <c r="B83" s="3" t="s">
        <v>102</v>
      </c>
      <c r="C83" s="4">
        <v>15558</v>
      </c>
      <c r="D83" s="4">
        <v>636</v>
      </c>
      <c r="E83" s="4">
        <f>C83</f>
        <v>15558</v>
      </c>
      <c r="F83" s="4">
        <f>E83*3</f>
        <v>46674</v>
      </c>
      <c r="G83" s="5">
        <v>0.1</v>
      </c>
      <c r="H83" s="4">
        <f>F83*G83</f>
        <v>4667.400000000001</v>
      </c>
      <c r="I83" s="6">
        <v>5</v>
      </c>
      <c r="J83" s="6">
        <f>H83/1000*I83</f>
        <v>23.337000000000003</v>
      </c>
      <c r="K83" s="6">
        <f>J83*12</f>
        <v>280.04400000000004</v>
      </c>
      <c r="L83" s="4">
        <f>E83*(1-G83)</f>
        <v>14002.2</v>
      </c>
      <c r="M83" s="4">
        <f>L83*0.0005</f>
        <v>7.0011</v>
      </c>
      <c r="N83" s="4">
        <f>M83*0.5</f>
        <v>3.50055</v>
      </c>
      <c r="O83" s="6">
        <f>N83*7.30</f>
        <v>25.554015</v>
      </c>
      <c r="P83" s="6">
        <f>O83*12</f>
        <v>306.64818</v>
      </c>
      <c r="Q83" s="6">
        <f>J83+O83</f>
        <v>48.891015</v>
      </c>
      <c r="R83" s="6">
        <f>K83+P83</f>
        <v>586.69218</v>
      </c>
    </row>
    <row r="84" spans="1:18">
      <c r="A84" s="2" t="s">
        <v>61</v>
      </c>
      <c r="B84" s="3" t="s">
        <v>103</v>
      </c>
      <c r="C84" s="4">
        <v>13909</v>
      </c>
      <c r="D84" s="4">
        <v>551</v>
      </c>
      <c r="E84" s="4">
        <f>C84</f>
        <v>13909</v>
      </c>
      <c r="F84" s="4">
        <f>E84*3</f>
        <v>41727</v>
      </c>
      <c r="G84" s="5">
        <v>0.1</v>
      </c>
      <c r="H84" s="4">
        <f>F84*G84</f>
        <v>4172.7</v>
      </c>
      <c r="I84" s="6">
        <v>5</v>
      </c>
      <c r="J84" s="6">
        <f>H84/1000*I84</f>
        <v>20.8635</v>
      </c>
      <c r="K84" s="6">
        <f>J84*12</f>
        <v>250.36199999999997</v>
      </c>
      <c r="L84" s="4">
        <f>E84*(1-G84)</f>
        <v>12518.1</v>
      </c>
      <c r="M84" s="4">
        <f>L84*0.0005</f>
        <v>6.25905</v>
      </c>
      <c r="N84" s="4">
        <f>M84*0.5</f>
        <v>3.129525</v>
      </c>
      <c r="O84" s="6">
        <f>N84*7.30</f>
        <v>22.8455325</v>
      </c>
      <c r="P84" s="6">
        <f>O84*12</f>
        <v>274.14639</v>
      </c>
      <c r="Q84" s="6">
        <f>J84+O84</f>
        <v>43.7090325</v>
      </c>
      <c r="R84" s="6">
        <f>K84+P84</f>
        <v>524.50839</v>
      </c>
    </row>
    <row r="85" spans="1:18">
      <c r="A85" s="2" t="s">
        <v>61</v>
      </c>
      <c r="B85" s="3" t="s">
        <v>104</v>
      </c>
      <c r="C85" s="4">
        <v>13819</v>
      </c>
      <c r="D85" s="4">
        <v>893</v>
      </c>
      <c r="E85" s="4">
        <f>C85</f>
        <v>13819</v>
      </c>
      <c r="F85" s="4">
        <f>E85*3</f>
        <v>41457</v>
      </c>
      <c r="G85" s="5">
        <v>0.1</v>
      </c>
      <c r="H85" s="4">
        <f>F85*G85</f>
        <v>4145.7</v>
      </c>
      <c r="I85" s="6">
        <v>5</v>
      </c>
      <c r="J85" s="6">
        <f>H85/1000*I85</f>
        <v>20.728499999999997</v>
      </c>
      <c r="K85" s="6">
        <f>J85*12</f>
        <v>248.74199999999996</v>
      </c>
      <c r="L85" s="4">
        <f>E85*(1-G85)</f>
        <v>12437.1</v>
      </c>
      <c r="M85" s="4">
        <f>L85*0.0005</f>
        <v>6.2185500000000005</v>
      </c>
      <c r="N85" s="4">
        <f>M85*0.5</f>
        <v>3.1092750000000002</v>
      </c>
      <c r="O85" s="6">
        <f>N85*7.30</f>
        <v>22.6977075</v>
      </c>
      <c r="P85" s="6">
        <f>O85*12</f>
        <v>272.37248999999997</v>
      </c>
      <c r="Q85" s="6">
        <f>J85+O85</f>
        <v>43.4262075</v>
      </c>
      <c r="R85" s="6">
        <f>K85+P85</f>
        <v>521.1144899999999</v>
      </c>
    </row>
    <row r="86" spans="1:18">
      <c r="A86" s="2" t="s">
        <v>61</v>
      </c>
      <c r="B86" s="3" t="s">
        <v>105</v>
      </c>
      <c r="C86" s="4">
        <v>11887</v>
      </c>
      <c r="D86" s="4">
        <v>503</v>
      </c>
      <c r="E86" s="4">
        <f>C86</f>
        <v>11887</v>
      </c>
      <c r="F86" s="4">
        <f>E86*3</f>
        <v>35661</v>
      </c>
      <c r="G86" s="5">
        <v>0.1</v>
      </c>
      <c r="H86" s="4">
        <f>F86*G86</f>
        <v>3566.1000000000004</v>
      </c>
      <c r="I86" s="6">
        <v>5</v>
      </c>
      <c r="J86" s="6">
        <f>H86/1000*I86</f>
        <v>17.8305</v>
      </c>
      <c r="K86" s="6">
        <f>J86*12</f>
        <v>213.966</v>
      </c>
      <c r="L86" s="4">
        <f>E86*(1-G86)</f>
        <v>10698.300000000001</v>
      </c>
      <c r="M86" s="4">
        <f>L86*0.0005</f>
        <v>5.349150000000001</v>
      </c>
      <c r="N86" s="4">
        <f>M86*0.5</f>
        <v>2.6745750000000004</v>
      </c>
      <c r="O86" s="6">
        <f>N86*7.30</f>
        <v>19.524397500000003</v>
      </c>
      <c r="P86" s="6">
        <f>O86*12</f>
        <v>234.29277000000002</v>
      </c>
      <c r="Q86" s="6">
        <f>J86+O86</f>
        <v>37.35489750000001</v>
      </c>
      <c r="R86" s="6">
        <f>K86+P86</f>
        <v>448.25877</v>
      </c>
    </row>
    <row r="87" spans="1:18">
      <c r="A87" s="2" t="s">
        <v>61</v>
      </c>
      <c r="B87" s="3" t="s">
        <v>106</v>
      </c>
      <c r="C87" s="4">
        <v>10875</v>
      </c>
      <c r="D87" s="4">
        <v>367</v>
      </c>
      <c r="E87" s="4">
        <f>C87</f>
        <v>10875</v>
      </c>
      <c r="F87" s="4">
        <f>E87*3</f>
        <v>32625</v>
      </c>
      <c r="G87" s="5">
        <v>0.1</v>
      </c>
      <c r="H87" s="4">
        <f>F87*G87</f>
        <v>3262.5</v>
      </c>
      <c r="I87" s="6">
        <v>5</v>
      </c>
      <c r="J87" s="6">
        <f>H87/1000*I87</f>
        <v>16.3125</v>
      </c>
      <c r="K87" s="6">
        <f>J87*12</f>
        <v>195.75</v>
      </c>
      <c r="L87" s="4">
        <f>E87*(1-G87)</f>
        <v>9787.5</v>
      </c>
      <c r="M87" s="4">
        <f>L87*0.0005</f>
        <v>4.89375</v>
      </c>
      <c r="N87" s="4">
        <f>M87*0.5</f>
        <v>2.446875</v>
      </c>
      <c r="O87" s="6">
        <f>N87*7.30</f>
        <v>17.862187499999997</v>
      </c>
      <c r="P87" s="6">
        <f>O87*12</f>
        <v>214.34624999999997</v>
      </c>
      <c r="Q87" s="6">
        <f>J87+O87</f>
        <v>34.1746875</v>
      </c>
      <c r="R87" s="6">
        <f>K87+P87</f>
        <v>410.09624999999994</v>
      </c>
    </row>
    <row r="88" spans="1:18">
      <c r="A88" s="2" t="s">
        <v>61</v>
      </c>
      <c r="B88" s="3" t="s">
        <v>107</v>
      </c>
      <c r="C88" s="4">
        <v>7378</v>
      </c>
      <c r="D88" s="4">
        <v>507</v>
      </c>
      <c r="E88" s="4">
        <f>C88</f>
        <v>7378</v>
      </c>
      <c r="F88" s="4">
        <f>E88*3</f>
        <v>22134</v>
      </c>
      <c r="G88" s="5">
        <v>0.1</v>
      </c>
      <c r="H88" s="4">
        <f>F88*G88</f>
        <v>2213.4</v>
      </c>
      <c r="I88" s="6">
        <v>5</v>
      </c>
      <c r="J88" s="6">
        <f>H88/1000*I88</f>
        <v>11.067</v>
      </c>
      <c r="K88" s="6">
        <f>J88*12</f>
        <v>132.804</v>
      </c>
      <c r="L88" s="4">
        <f>E88*(1-G88)</f>
        <v>6640.2</v>
      </c>
      <c r="M88" s="4">
        <f>L88*0.0005</f>
        <v>3.3201</v>
      </c>
      <c r="N88" s="4">
        <f>M88*0.5</f>
        <v>1.66005</v>
      </c>
      <c r="O88" s="6">
        <f>N88*7.30</f>
        <v>12.118365</v>
      </c>
      <c r="P88" s="6">
        <f>O88*12</f>
        <v>145.42038000000002</v>
      </c>
      <c r="Q88" s="6">
        <f>J88+O88</f>
        <v>23.185365</v>
      </c>
      <c r="R88" s="6">
        <f>K88+P88</f>
        <v>278.22438</v>
      </c>
    </row>
    <row r="89" spans="1:18">
      <c r="A89" s="2" t="s">
        <v>61</v>
      </c>
      <c r="B89" s="3" t="s">
        <v>108</v>
      </c>
      <c r="C89" s="4">
        <v>7316</v>
      </c>
      <c r="D89" s="4">
        <v>316</v>
      </c>
      <c r="E89" s="4">
        <f>C89</f>
        <v>7316</v>
      </c>
      <c r="F89" s="4">
        <f>E89*3</f>
        <v>21948</v>
      </c>
      <c r="G89" s="5">
        <v>0.1</v>
      </c>
      <c r="H89" s="4">
        <f>F89*G89</f>
        <v>2194.8</v>
      </c>
      <c r="I89" s="6">
        <v>5</v>
      </c>
      <c r="J89" s="6">
        <f>H89/1000*I89</f>
        <v>10.974000000000002</v>
      </c>
      <c r="K89" s="6">
        <f>J89*12</f>
        <v>131.68800000000002</v>
      </c>
      <c r="L89" s="4">
        <f>E89*(1-G89)</f>
        <v>6584.400000000001</v>
      </c>
      <c r="M89" s="4">
        <f>L89*0.0005</f>
        <v>3.2922000000000002</v>
      </c>
      <c r="N89" s="4">
        <f>M89*0.5</f>
        <v>1.6461000000000001</v>
      </c>
      <c r="O89" s="6">
        <f>N89*7.30</f>
        <v>12.016530000000001</v>
      </c>
      <c r="P89" s="6">
        <f>O89*12</f>
        <v>144.19836</v>
      </c>
      <c r="Q89" s="6">
        <f>J89+O89</f>
        <v>22.990530000000003</v>
      </c>
      <c r="R89" s="6">
        <f>K89+P89</f>
        <v>275.88636</v>
      </c>
    </row>
    <row r="90" spans="1:18">
      <c r="A90" s="2" t="s">
        <v>61</v>
      </c>
      <c r="B90" s="3" t="s">
        <v>109</v>
      </c>
      <c r="C90" s="4">
        <v>7252</v>
      </c>
      <c r="D90" s="4">
        <v>407</v>
      </c>
      <c r="E90" s="4">
        <f>C90</f>
        <v>7252</v>
      </c>
      <c r="F90" s="4">
        <f>E90*3</f>
        <v>21756</v>
      </c>
      <c r="G90" s="5">
        <v>0.1</v>
      </c>
      <c r="H90" s="4">
        <f>F90*G90</f>
        <v>2175.6</v>
      </c>
      <c r="I90" s="6">
        <v>5</v>
      </c>
      <c r="J90" s="6">
        <f>H90/1000*I90</f>
        <v>10.877999999999998</v>
      </c>
      <c r="K90" s="6">
        <f>J90*12</f>
        <v>130.53599999999997</v>
      </c>
      <c r="L90" s="4">
        <f>E90*(1-G90)</f>
        <v>6526.8</v>
      </c>
      <c r="M90" s="4">
        <f>L90*0.0005</f>
        <v>3.2634000000000003</v>
      </c>
      <c r="N90" s="4">
        <f>M90*0.5</f>
        <v>1.6317000000000002</v>
      </c>
      <c r="O90" s="6">
        <f>N90*7.30</f>
        <v>11.91141</v>
      </c>
      <c r="P90" s="6">
        <f>O90*12</f>
        <v>142.93692</v>
      </c>
      <c r="Q90" s="6">
        <f>J90+O90</f>
        <v>22.789409999999997</v>
      </c>
      <c r="R90" s="6">
        <f>K90+P90</f>
        <v>273.47291999999993</v>
      </c>
    </row>
    <row r="91" spans="1:18">
      <c r="A91" s="2" t="s">
        <v>61</v>
      </c>
      <c r="B91" s="3" t="s">
        <v>110</v>
      </c>
      <c r="C91" s="4">
        <v>7158</v>
      </c>
      <c r="D91" s="4">
        <v>314</v>
      </c>
      <c r="E91" s="4">
        <f>C91</f>
        <v>7158</v>
      </c>
      <c r="F91" s="4">
        <f>E91*3</f>
        <v>21474</v>
      </c>
      <c r="G91" s="5">
        <v>0.1</v>
      </c>
      <c r="H91" s="4">
        <f>F91*G91</f>
        <v>2147.4</v>
      </c>
      <c r="I91" s="6">
        <v>5</v>
      </c>
      <c r="J91" s="6">
        <f>H91/1000*I91</f>
        <v>10.737000000000002</v>
      </c>
      <c r="K91" s="6">
        <f>J91*12</f>
        <v>128.84400000000002</v>
      </c>
      <c r="L91" s="4">
        <f>E91*(1-G91)</f>
        <v>6442.2</v>
      </c>
      <c r="M91" s="4">
        <f>L91*0.0005</f>
        <v>3.2211</v>
      </c>
      <c r="N91" s="4">
        <f>M91*0.5</f>
        <v>1.61055</v>
      </c>
      <c r="O91" s="6">
        <f>N91*7.30</f>
        <v>11.757014999999999</v>
      </c>
      <c r="P91" s="6">
        <f>O91*12</f>
        <v>141.08418</v>
      </c>
      <c r="Q91" s="6">
        <f>J91+O91</f>
        <v>22.494015</v>
      </c>
      <c r="R91" s="6">
        <f>K91+P91</f>
        <v>269.92818</v>
      </c>
    </row>
    <row r="92" spans="1:18">
      <c r="A92" s="2" t="s">
        <v>61</v>
      </c>
      <c r="B92" s="3" t="s">
        <v>111</v>
      </c>
      <c r="C92" s="4">
        <v>6673</v>
      </c>
      <c r="D92" s="4">
        <v>322</v>
      </c>
      <c r="E92" s="4">
        <f>C92</f>
        <v>6673</v>
      </c>
      <c r="F92" s="4">
        <f>E92*3</f>
        <v>20019</v>
      </c>
      <c r="G92" s="5">
        <v>0.1</v>
      </c>
      <c r="H92" s="4">
        <f>F92*G92</f>
        <v>2001.9</v>
      </c>
      <c r="I92" s="6">
        <v>5</v>
      </c>
      <c r="J92" s="6">
        <f>H92/1000*I92</f>
        <v>10.0095</v>
      </c>
      <c r="K92" s="6">
        <f>J92*12</f>
        <v>120.11399999999999</v>
      </c>
      <c r="L92" s="4">
        <f>E92*(1-G92)</f>
        <v>6005.7</v>
      </c>
      <c r="M92" s="4">
        <f>L92*0.0005</f>
        <v>3.00285</v>
      </c>
      <c r="N92" s="4">
        <f>M92*0.5</f>
        <v>1.501425</v>
      </c>
      <c r="O92" s="6">
        <f>N92*7.30</f>
        <v>10.960402499999999</v>
      </c>
      <c r="P92" s="6">
        <f>O92*12</f>
        <v>131.52482999999998</v>
      </c>
      <c r="Q92" s="6">
        <f>J92+O92</f>
        <v>20.969902499999996</v>
      </c>
      <c r="R92" s="6">
        <f>K92+P92</f>
        <v>251.63882999999998</v>
      </c>
    </row>
    <row r="93" spans="1:18">
      <c r="A93" s="2" t="s">
        <v>61</v>
      </c>
      <c r="B93" s="3" t="s">
        <v>112</v>
      </c>
      <c r="C93" s="4">
        <v>4968</v>
      </c>
      <c r="D93" s="4">
        <v>322</v>
      </c>
      <c r="E93" s="4">
        <f>C93</f>
        <v>4968</v>
      </c>
      <c r="F93" s="4">
        <f>E93*3</f>
        <v>14904</v>
      </c>
      <c r="G93" s="5">
        <v>0.1</v>
      </c>
      <c r="H93" s="4">
        <f>F93*G93</f>
        <v>1490.4</v>
      </c>
      <c r="I93" s="6">
        <v>5</v>
      </c>
      <c r="J93" s="6">
        <f>H93/1000*I93</f>
        <v>7.452000000000001</v>
      </c>
      <c r="K93" s="6">
        <f>J93*12</f>
        <v>89.424</v>
      </c>
      <c r="L93" s="4">
        <f>E93*(1-G93)</f>
        <v>4471.2</v>
      </c>
      <c r="M93" s="4">
        <f>L93*0.0005</f>
        <v>2.2356</v>
      </c>
      <c r="N93" s="4">
        <f>M93*0.5</f>
        <v>1.1178</v>
      </c>
      <c r="O93" s="6">
        <f>N93*7.30</f>
        <v>8.159939999999999</v>
      </c>
      <c r="P93" s="6">
        <f>O93*12</f>
        <v>97.91927999999999</v>
      </c>
      <c r="Q93" s="6">
        <f>J93+O93</f>
        <v>15.61194</v>
      </c>
      <c r="R93" s="6">
        <f>K93+P93</f>
        <v>187.34328</v>
      </c>
    </row>
    <row r="94" spans="1:18">
      <c r="A94" s="2" t="s">
        <v>61</v>
      </c>
      <c r="B94" s="3" t="s">
        <v>113</v>
      </c>
      <c r="C94" s="4">
        <v>4546</v>
      </c>
      <c r="D94" s="4">
        <v>165</v>
      </c>
      <c r="E94" s="4">
        <f>C94</f>
        <v>4546</v>
      </c>
      <c r="F94" s="4">
        <f>E94*3</f>
        <v>13638</v>
      </c>
      <c r="G94" s="5">
        <v>0.1</v>
      </c>
      <c r="H94" s="4">
        <f>F94*G94</f>
        <v>1363.8000000000002</v>
      </c>
      <c r="I94" s="6">
        <v>5</v>
      </c>
      <c r="J94" s="6">
        <f>H94/1000*I94</f>
        <v>6.819000000000001</v>
      </c>
      <c r="K94" s="6">
        <f>J94*12</f>
        <v>81.828</v>
      </c>
      <c r="L94" s="4">
        <f>E94*(1-G94)</f>
        <v>4091.4</v>
      </c>
      <c r="M94" s="4">
        <f>L94*0.0005</f>
        <v>2.0457</v>
      </c>
      <c r="N94" s="4">
        <f>M94*0.5</f>
        <v>1.02285</v>
      </c>
      <c r="O94" s="6">
        <f>N94*7.30</f>
        <v>7.466805</v>
      </c>
      <c r="P94" s="6">
        <f>O94*12</f>
        <v>89.60166</v>
      </c>
      <c r="Q94" s="6">
        <f>J94+O94</f>
        <v>14.285805</v>
      </c>
      <c r="R94" s="6">
        <f>K94+P94</f>
        <v>171.42966</v>
      </c>
    </row>
    <row r="95" spans="1:18">
      <c r="A95" s="2" t="s">
        <v>61</v>
      </c>
      <c r="B95" s="3" t="s">
        <v>114</v>
      </c>
      <c r="C95" s="4">
        <v>4240</v>
      </c>
      <c r="D95" s="4">
        <v>180</v>
      </c>
      <c r="E95" s="4">
        <f>C95</f>
        <v>4240</v>
      </c>
      <c r="F95" s="4">
        <f>E95*3</f>
        <v>12720</v>
      </c>
      <c r="G95" s="5">
        <v>0.1</v>
      </c>
      <c r="H95" s="4">
        <f>F95*G95</f>
        <v>1272.0</v>
      </c>
      <c r="I95" s="6">
        <v>5</v>
      </c>
      <c r="J95" s="6">
        <f>H95/1000*I95</f>
        <v>6.36</v>
      </c>
      <c r="K95" s="6">
        <f>J95*12</f>
        <v>76.32000000000001</v>
      </c>
      <c r="L95" s="4">
        <f>E95*(1-G95)</f>
        <v>3816.0</v>
      </c>
      <c r="M95" s="4">
        <f>L95*0.0005</f>
        <v>1.9080000000000001</v>
      </c>
      <c r="N95" s="4">
        <f>M95*0.5</f>
        <v>0.9540000000000001</v>
      </c>
      <c r="O95" s="6">
        <f>N95*7.30</f>
        <v>6.9642</v>
      </c>
      <c r="P95" s="6">
        <f>O95*12</f>
        <v>83.5704</v>
      </c>
      <c r="Q95" s="6">
        <f>J95+O95</f>
        <v>13.324200000000001</v>
      </c>
      <c r="R95" s="6">
        <f>K95+P95</f>
        <v>159.8904</v>
      </c>
    </row>
    <row r="96" spans="1:18">
      <c r="A96" s="2" t="s">
        <v>61</v>
      </c>
      <c r="B96" s="3" t="s">
        <v>115</v>
      </c>
      <c r="C96" s="4">
        <v>3895</v>
      </c>
      <c r="D96" s="4">
        <v>168</v>
      </c>
      <c r="E96" s="4">
        <f>C96</f>
        <v>3895</v>
      </c>
      <c r="F96" s="4">
        <f>E96*3</f>
        <v>11685</v>
      </c>
      <c r="G96" s="5">
        <v>0.1</v>
      </c>
      <c r="H96" s="4">
        <f>F96*G96</f>
        <v>1168.5</v>
      </c>
      <c r="I96" s="6">
        <v>5</v>
      </c>
      <c r="J96" s="6">
        <f>H96/1000*I96</f>
        <v>5.8425</v>
      </c>
      <c r="K96" s="6">
        <f>J96*12</f>
        <v>70.11</v>
      </c>
      <c r="L96" s="4">
        <f>E96*(1-G96)</f>
        <v>3505.5</v>
      </c>
      <c r="M96" s="4">
        <f>L96*0.0005</f>
        <v>1.75275</v>
      </c>
      <c r="N96" s="4">
        <f>M96*0.5</f>
        <v>0.876375</v>
      </c>
      <c r="O96" s="6">
        <f>N96*7.30</f>
        <v>6.3975375</v>
      </c>
      <c r="P96" s="6">
        <f>O96*12</f>
        <v>76.77045000000001</v>
      </c>
      <c r="Q96" s="6">
        <f>J96+O96</f>
        <v>12.2400375</v>
      </c>
      <c r="R96" s="6">
        <f>K96+P96</f>
        <v>146.88045</v>
      </c>
    </row>
    <row r="97" spans="1:18">
      <c r="A97" s="2" t="s">
        <v>61</v>
      </c>
      <c r="B97" s="3" t="s">
        <v>116</v>
      </c>
      <c r="C97" s="4">
        <v>3063</v>
      </c>
      <c r="D97" s="4">
        <v>164</v>
      </c>
      <c r="E97" s="4">
        <f>C97</f>
        <v>3063</v>
      </c>
      <c r="F97" s="4">
        <f>E97*3</f>
        <v>9189</v>
      </c>
      <c r="G97" s="5">
        <v>0.1</v>
      </c>
      <c r="H97" s="4">
        <f>F97*G97</f>
        <v>918.9000000000001</v>
      </c>
      <c r="I97" s="6">
        <v>5</v>
      </c>
      <c r="J97" s="6">
        <f>H97/1000*I97</f>
        <v>4.5945</v>
      </c>
      <c r="K97" s="6">
        <f>J97*12</f>
        <v>55.134</v>
      </c>
      <c r="L97" s="4">
        <f>E97*(1-G97)</f>
        <v>2756.7000000000003</v>
      </c>
      <c r="M97" s="4">
        <f>L97*0.0005</f>
        <v>1.3783500000000002</v>
      </c>
      <c r="N97" s="4">
        <f>M97*0.5</f>
        <v>0.6891750000000001</v>
      </c>
      <c r="O97" s="6">
        <f>N97*7.30</f>
        <v>5.0309775000000005</v>
      </c>
      <c r="P97" s="6">
        <f>O97*12</f>
        <v>60.37173000000001</v>
      </c>
      <c r="Q97" s="6">
        <f>J97+O97</f>
        <v>9.6254775</v>
      </c>
      <c r="R97" s="6">
        <f>K97+P97</f>
        <v>115.50573</v>
      </c>
    </row>
    <row r="98" spans="1:18">
      <c r="A98" s="2" t="s">
        <v>61</v>
      </c>
      <c r="B98" s="3" t="s">
        <v>117</v>
      </c>
      <c r="C98" s="4">
        <v>2399</v>
      </c>
      <c r="D98" s="4">
        <v>88</v>
      </c>
      <c r="E98" s="4">
        <f>C98</f>
        <v>2399</v>
      </c>
      <c r="F98" s="4">
        <f>E98*3</f>
        <v>7197</v>
      </c>
      <c r="G98" s="5">
        <v>0.1</v>
      </c>
      <c r="H98" s="4">
        <f>F98*G98</f>
        <v>719.7</v>
      </c>
      <c r="I98" s="6">
        <v>5</v>
      </c>
      <c r="J98" s="6">
        <f>H98/1000*I98</f>
        <v>3.5985</v>
      </c>
      <c r="K98" s="6">
        <f>J98*12</f>
        <v>43.182</v>
      </c>
      <c r="L98" s="4">
        <f>E98*(1-G98)</f>
        <v>2159.1</v>
      </c>
      <c r="M98" s="4">
        <f>L98*0.0005</f>
        <v>1.07955</v>
      </c>
      <c r="N98" s="4">
        <f>M98*0.5</f>
        <v>0.539775</v>
      </c>
      <c r="O98" s="6">
        <f>N98*7.30</f>
        <v>3.9403574999999997</v>
      </c>
      <c r="P98" s="6">
        <f>O98*12</f>
        <v>47.28429</v>
      </c>
      <c r="Q98" s="6">
        <f>J98+O98</f>
        <v>7.5388575</v>
      </c>
      <c r="R98" s="6">
        <f>K98+P98</f>
        <v>90.46629</v>
      </c>
    </row>
    <row r="99" spans="1:18">
      <c r="A99" s="2" t="s">
        <v>61</v>
      </c>
      <c r="B99" s="3" t="s">
        <v>118</v>
      </c>
      <c r="C99" s="4">
        <v>2343</v>
      </c>
      <c r="D99" s="4">
        <v>115</v>
      </c>
      <c r="E99" s="4">
        <f>C99</f>
        <v>2343</v>
      </c>
      <c r="F99" s="4">
        <f>E99*3</f>
        <v>7029</v>
      </c>
      <c r="G99" s="5">
        <v>0.1</v>
      </c>
      <c r="H99" s="4">
        <f>F99*G99</f>
        <v>702.9000000000001</v>
      </c>
      <c r="I99" s="6">
        <v>5</v>
      </c>
      <c r="J99" s="6">
        <f>H99/1000*I99</f>
        <v>3.5145000000000004</v>
      </c>
      <c r="K99" s="6">
        <f>J99*12</f>
        <v>42.17400000000001</v>
      </c>
      <c r="L99" s="4">
        <f>E99*(1-G99)</f>
        <v>2108.7000000000003</v>
      </c>
      <c r="M99" s="4">
        <f>L99*0.0005</f>
        <v>1.0543500000000001</v>
      </c>
      <c r="N99" s="4">
        <f>M99*0.5</f>
        <v>0.5271750000000001</v>
      </c>
      <c r="O99" s="6">
        <f>N99*7.30</f>
        <v>3.8483775000000002</v>
      </c>
      <c r="P99" s="6">
        <f>O99*12</f>
        <v>46.180530000000005</v>
      </c>
      <c r="Q99" s="6">
        <f>J99+O99</f>
        <v>7.362877500000001</v>
      </c>
      <c r="R99" s="6">
        <f>K99+P99</f>
        <v>88.35453000000001</v>
      </c>
    </row>
    <row r="100" spans="1:18">
      <c r="A100" s="2" t="s">
        <v>61</v>
      </c>
      <c r="B100" s="3" t="s">
        <v>119</v>
      </c>
      <c r="C100" s="4">
        <v>2294</v>
      </c>
      <c r="D100" s="4">
        <v>149</v>
      </c>
      <c r="E100" s="4">
        <f>C100</f>
        <v>2294</v>
      </c>
      <c r="F100" s="4">
        <f>E100*3</f>
        <v>6882</v>
      </c>
      <c r="G100" s="5">
        <v>0.1</v>
      </c>
      <c r="H100" s="4">
        <f>F100*G100</f>
        <v>688.2</v>
      </c>
      <c r="I100" s="6">
        <v>5</v>
      </c>
      <c r="J100" s="6">
        <f>H100/1000*I100</f>
        <v>3.4410000000000003</v>
      </c>
      <c r="K100" s="6">
        <f>J100*12</f>
        <v>41.292</v>
      </c>
      <c r="L100" s="4">
        <f>E100*(1-G100)</f>
        <v>2064.6</v>
      </c>
      <c r="M100" s="4">
        <f>L100*0.0005</f>
        <v>1.0323</v>
      </c>
      <c r="N100" s="4">
        <f>M100*0.5</f>
        <v>0.51615</v>
      </c>
      <c r="O100" s="6">
        <f>N100*7.30</f>
        <v>3.7678949999999998</v>
      </c>
      <c r="P100" s="6">
        <f>O100*12</f>
        <v>45.21474</v>
      </c>
      <c r="Q100" s="6">
        <f>J100+O100</f>
        <v>7.208895</v>
      </c>
      <c r="R100" s="6">
        <f>K100+P100</f>
        <v>86.50674000000001</v>
      </c>
    </row>
    <row r="101" spans="1:18">
      <c r="A101" s="2" t="s">
        <v>61</v>
      </c>
      <c r="B101" s="3" t="s">
        <v>120</v>
      </c>
      <c r="C101" s="4">
        <v>2037</v>
      </c>
      <c r="D101" s="4">
        <v>123</v>
      </c>
      <c r="E101" s="4">
        <f>C101</f>
        <v>2037</v>
      </c>
      <c r="F101" s="4">
        <f>E101*3</f>
        <v>6111</v>
      </c>
      <c r="G101" s="5">
        <v>0.1</v>
      </c>
      <c r="H101" s="4">
        <f>F101*G101</f>
        <v>611.1</v>
      </c>
      <c r="I101" s="6">
        <v>5</v>
      </c>
      <c r="J101" s="6">
        <f>H101/1000*I101</f>
        <v>3.0555</v>
      </c>
      <c r="K101" s="6">
        <f>J101*12</f>
        <v>36.666</v>
      </c>
      <c r="L101" s="4">
        <f>E101*(1-G101)</f>
        <v>1833.3</v>
      </c>
      <c r="M101" s="4">
        <f>L101*0.0005</f>
        <v>0.91665</v>
      </c>
      <c r="N101" s="4">
        <f>M101*0.5</f>
        <v>0.458325</v>
      </c>
      <c r="O101" s="6">
        <f>N101*7.30</f>
        <v>3.3457725</v>
      </c>
      <c r="P101" s="6">
        <f>O101*12</f>
        <v>40.14927</v>
      </c>
      <c r="Q101" s="6">
        <f>J101+O101</f>
        <v>6.401272499999999</v>
      </c>
      <c r="R101" s="6">
        <f>K101+P101</f>
        <v>76.81527</v>
      </c>
    </row>
    <row r="102" spans="1:18">
      <c r="A102" s="2" t="s">
        <v>61</v>
      </c>
      <c r="B102" s="3" t="s">
        <v>121</v>
      </c>
      <c r="C102" s="4">
        <v>1996</v>
      </c>
      <c r="D102" s="4">
        <v>71</v>
      </c>
      <c r="E102" s="4">
        <f>C102</f>
        <v>1996</v>
      </c>
      <c r="F102" s="4">
        <f>E102*3</f>
        <v>5988</v>
      </c>
      <c r="G102" s="5">
        <v>0.1</v>
      </c>
      <c r="H102" s="4">
        <f>F102*G102</f>
        <v>598.8000000000001</v>
      </c>
      <c r="I102" s="6">
        <v>5</v>
      </c>
      <c r="J102" s="6">
        <f>H102/1000*I102</f>
        <v>2.9940000000000007</v>
      </c>
      <c r="K102" s="6">
        <f>J102*12</f>
        <v>35.92800000000001</v>
      </c>
      <c r="L102" s="4">
        <f>E102*(1-G102)</f>
        <v>1796.4</v>
      </c>
      <c r="M102" s="4">
        <f>L102*0.0005</f>
        <v>0.8982000000000001</v>
      </c>
      <c r="N102" s="4">
        <f>M102*0.5</f>
        <v>0.44910000000000005</v>
      </c>
      <c r="O102" s="6">
        <f>N102*7.30</f>
        <v>3.27843</v>
      </c>
      <c r="P102" s="6">
        <f>O102*12</f>
        <v>39.34116</v>
      </c>
      <c r="Q102" s="6">
        <f>J102+O102</f>
        <v>6.272430000000001</v>
      </c>
      <c r="R102" s="6">
        <f>K102+P102</f>
        <v>75.26916000000001</v>
      </c>
    </row>
    <row r="103" spans="1:18">
      <c r="A103" s="2" t="s">
        <v>61</v>
      </c>
      <c r="B103" s="3" t="s">
        <v>122</v>
      </c>
      <c r="C103" s="4">
        <v>1615</v>
      </c>
      <c r="D103" s="4">
        <v>89</v>
      </c>
      <c r="E103" s="4">
        <f>C103</f>
        <v>1615</v>
      </c>
      <c r="F103" s="4">
        <f>E103*3</f>
        <v>4845</v>
      </c>
      <c r="G103" s="5">
        <v>0.1</v>
      </c>
      <c r="H103" s="4">
        <f>F103*G103</f>
        <v>484.5</v>
      </c>
      <c r="I103" s="6">
        <v>5</v>
      </c>
      <c r="J103" s="6">
        <f>H103/1000*I103</f>
        <v>2.4225</v>
      </c>
      <c r="K103" s="6">
        <f>J103*12</f>
        <v>29.07</v>
      </c>
      <c r="L103" s="4">
        <f>E103*(1-G103)</f>
        <v>1453.5</v>
      </c>
      <c r="M103" s="4">
        <f>L103*0.0005</f>
        <v>0.72675</v>
      </c>
      <c r="N103" s="4">
        <f>M103*0.5</f>
        <v>0.363375</v>
      </c>
      <c r="O103" s="6">
        <f>N103*7.30</f>
        <v>2.6526375</v>
      </c>
      <c r="P103" s="6">
        <f>O103*12</f>
        <v>31.83165</v>
      </c>
      <c r="Q103" s="6">
        <f>J103+O103</f>
        <v>5.0751375</v>
      </c>
      <c r="R103" s="6">
        <f>K103+P103</f>
        <v>60.901650000000004</v>
      </c>
    </row>
    <row r="104" spans="1:18">
      <c r="A104" s="2" t="s">
        <v>61</v>
      </c>
      <c r="B104" s="3" t="s">
        <v>123</v>
      </c>
      <c r="C104" s="4">
        <v>1486</v>
      </c>
      <c r="D104" s="4">
        <v>104</v>
      </c>
      <c r="E104" s="4">
        <f>C104</f>
        <v>1486</v>
      </c>
      <c r="F104" s="4">
        <f>E104*3</f>
        <v>4458</v>
      </c>
      <c r="G104" s="5">
        <v>0.1</v>
      </c>
      <c r="H104" s="4">
        <f>F104*G104</f>
        <v>445.8</v>
      </c>
      <c r="I104" s="6">
        <v>5</v>
      </c>
      <c r="J104" s="6">
        <f>H104/1000*I104</f>
        <v>2.229</v>
      </c>
      <c r="K104" s="6">
        <f>J104*12</f>
        <v>26.748</v>
      </c>
      <c r="L104" s="4">
        <f>E104*(1-G104)</f>
        <v>1337.4</v>
      </c>
      <c r="M104" s="4">
        <f>L104*0.0005</f>
        <v>0.6687000000000001</v>
      </c>
      <c r="N104" s="4">
        <f>M104*0.5</f>
        <v>0.33435000000000004</v>
      </c>
      <c r="O104" s="6">
        <f>N104*7.30</f>
        <v>2.4407550000000002</v>
      </c>
      <c r="P104" s="6">
        <f>O104*12</f>
        <v>29.289060000000003</v>
      </c>
      <c r="Q104" s="6">
        <f>J104+O104</f>
        <v>4.669755</v>
      </c>
      <c r="R104" s="6">
        <f>K104+P104</f>
        <v>56.037060000000004</v>
      </c>
    </row>
    <row r="105" spans="1:18">
      <c r="A105" s="2" t="s">
        <v>61</v>
      </c>
      <c r="B105" s="3" t="s">
        <v>124</v>
      </c>
      <c r="C105" s="4">
        <v>1382</v>
      </c>
      <c r="D105" s="4">
        <v>96</v>
      </c>
      <c r="E105" s="4">
        <f>C105</f>
        <v>1382</v>
      </c>
      <c r="F105" s="4">
        <f>E105*3</f>
        <v>4146</v>
      </c>
      <c r="G105" s="5">
        <v>0.1</v>
      </c>
      <c r="H105" s="4">
        <f>F105*G105</f>
        <v>414.6</v>
      </c>
      <c r="I105" s="6">
        <v>5</v>
      </c>
      <c r="J105" s="6">
        <f>H105/1000*I105</f>
        <v>2.073</v>
      </c>
      <c r="K105" s="6">
        <f>J105*12</f>
        <v>24.875999999999998</v>
      </c>
      <c r="L105" s="4">
        <f>E105*(1-G105)</f>
        <v>1243.8</v>
      </c>
      <c r="M105" s="4">
        <f>L105*0.0005</f>
        <v>0.6219</v>
      </c>
      <c r="N105" s="4">
        <f>M105*0.5</f>
        <v>0.31095</v>
      </c>
      <c r="O105" s="6">
        <f>N105*7.30</f>
        <v>2.269935</v>
      </c>
      <c r="P105" s="6">
        <f>O105*12</f>
        <v>27.239219999999996</v>
      </c>
      <c r="Q105" s="6">
        <f>J105+O105</f>
        <v>4.342935</v>
      </c>
      <c r="R105" s="6">
        <f>K105+P105</f>
        <v>52.115219999999994</v>
      </c>
    </row>
    <row r="106" spans="1:18">
      <c r="A106" s="2" t="s">
        <v>61</v>
      </c>
      <c r="B106" s="3" t="s">
        <v>125</v>
      </c>
      <c r="C106" s="4">
        <v>1206</v>
      </c>
      <c r="D106" s="4">
        <v>78</v>
      </c>
      <c r="E106" s="4">
        <f>C106</f>
        <v>1206</v>
      </c>
      <c r="F106" s="4">
        <f>E106*3</f>
        <v>3618</v>
      </c>
      <c r="G106" s="5">
        <v>0.1</v>
      </c>
      <c r="H106" s="4">
        <f>F106*G106</f>
        <v>361.8</v>
      </c>
      <c r="I106" s="6">
        <v>5</v>
      </c>
      <c r="J106" s="6">
        <f>H106/1000*I106</f>
        <v>1.8090000000000002</v>
      </c>
      <c r="K106" s="6">
        <f>J106*12</f>
        <v>21.708000000000002</v>
      </c>
      <c r="L106" s="4">
        <f>E106*(1-G106)</f>
        <v>1085.4</v>
      </c>
      <c r="M106" s="4">
        <f>L106*0.0005</f>
        <v>0.5427000000000001</v>
      </c>
      <c r="N106" s="4">
        <f>M106*0.5</f>
        <v>0.27135000000000004</v>
      </c>
      <c r="O106" s="6">
        <f>N106*7.30</f>
        <v>1.9808550000000003</v>
      </c>
      <c r="P106" s="6">
        <f>O106*12</f>
        <v>23.770260000000004</v>
      </c>
      <c r="Q106" s="6">
        <f>J106+O106</f>
        <v>3.789855</v>
      </c>
      <c r="R106" s="6">
        <f>K106+P106</f>
        <v>45.478260000000006</v>
      </c>
    </row>
    <row r="107" spans="1:18">
      <c r="A107" s="2" t="s">
        <v>61</v>
      </c>
      <c r="B107" s="3" t="s">
        <v>126</v>
      </c>
      <c r="C107" s="4">
        <v>1159</v>
      </c>
      <c r="D107" s="4">
        <v>51</v>
      </c>
      <c r="E107" s="4">
        <f>C107</f>
        <v>1159</v>
      </c>
      <c r="F107" s="4">
        <f>E107*3</f>
        <v>3477</v>
      </c>
      <c r="G107" s="5">
        <v>0.1</v>
      </c>
      <c r="H107" s="4">
        <f>F107*G107</f>
        <v>347.70000000000005</v>
      </c>
      <c r="I107" s="6">
        <v>5</v>
      </c>
      <c r="J107" s="6">
        <f>H107/1000*I107</f>
        <v>1.7385000000000004</v>
      </c>
      <c r="K107" s="6">
        <f>J107*12</f>
        <v>20.862000000000005</v>
      </c>
      <c r="L107" s="4">
        <f>E107*(1-G107)</f>
        <v>1043.1000000000001</v>
      </c>
      <c r="M107" s="4">
        <f>L107*0.0005</f>
        <v>0.5215500000000001</v>
      </c>
      <c r="N107" s="4">
        <f>M107*0.5</f>
        <v>0.26077500000000003</v>
      </c>
      <c r="O107" s="6">
        <f>N107*7.30</f>
        <v>1.9036575000000002</v>
      </c>
      <c r="P107" s="6">
        <f>O107*12</f>
        <v>22.843890000000002</v>
      </c>
      <c r="Q107" s="6">
        <f>J107+O107</f>
        <v>3.6421575000000006</v>
      </c>
      <c r="R107" s="6">
        <f>K107+P107</f>
        <v>43.70589000000001</v>
      </c>
    </row>
    <row r="108" spans="1:18">
      <c r="A108" s="2" t="s">
        <v>61</v>
      </c>
      <c r="B108" s="3" t="s">
        <v>127</v>
      </c>
      <c r="C108" s="4">
        <v>1106</v>
      </c>
      <c r="D108" s="4">
        <v>77</v>
      </c>
      <c r="E108" s="4">
        <f>C108</f>
        <v>1106</v>
      </c>
      <c r="F108" s="4">
        <f>E108*3</f>
        <v>3318</v>
      </c>
      <c r="G108" s="5">
        <v>0.1</v>
      </c>
      <c r="H108" s="4">
        <f>F108*G108</f>
        <v>331.8</v>
      </c>
      <c r="I108" s="6">
        <v>5</v>
      </c>
      <c r="J108" s="6">
        <f>H108/1000*I108</f>
        <v>1.6589999999999998</v>
      </c>
      <c r="K108" s="6">
        <f>J108*12</f>
        <v>19.907999999999998</v>
      </c>
      <c r="L108" s="4">
        <f>E108*(1-G108)</f>
        <v>995.4</v>
      </c>
      <c r="M108" s="4">
        <f>L108*0.0005</f>
        <v>0.4977</v>
      </c>
      <c r="N108" s="4">
        <f>M108*0.5</f>
        <v>0.24885</v>
      </c>
      <c r="O108" s="6">
        <f>N108*7.30</f>
        <v>1.8166049999999998</v>
      </c>
      <c r="P108" s="6">
        <f>O108*12</f>
        <v>21.799259999999997</v>
      </c>
      <c r="Q108" s="6">
        <f>J108+O108</f>
        <v>3.475605</v>
      </c>
      <c r="R108" s="6">
        <f>K108+P108</f>
        <v>41.70725999999999</v>
      </c>
    </row>
    <row r="109" spans="1:18">
      <c r="A109" s="2" t="s">
        <v>61</v>
      </c>
      <c r="B109" s="3" t="s">
        <v>128</v>
      </c>
      <c r="C109" s="4">
        <v>1048</v>
      </c>
      <c r="D109" s="4">
        <v>91</v>
      </c>
      <c r="E109" s="4">
        <f>C109</f>
        <v>1048</v>
      </c>
      <c r="F109" s="4">
        <f>E109*3</f>
        <v>3144</v>
      </c>
      <c r="G109" s="5">
        <v>0.1</v>
      </c>
      <c r="H109" s="4">
        <f>F109*G109</f>
        <v>314.40000000000003</v>
      </c>
      <c r="I109" s="6">
        <v>5</v>
      </c>
      <c r="J109" s="6">
        <f>H109/1000*I109</f>
        <v>1.572</v>
      </c>
      <c r="K109" s="6">
        <f>J109*12</f>
        <v>18.864</v>
      </c>
      <c r="L109" s="4">
        <f>E109*(1-G109)</f>
        <v>943.2</v>
      </c>
      <c r="M109" s="4">
        <f>L109*0.0005</f>
        <v>0.4716</v>
      </c>
      <c r="N109" s="4">
        <f>M109*0.5</f>
        <v>0.2358</v>
      </c>
      <c r="O109" s="6">
        <f>N109*7.30</f>
        <v>1.72134</v>
      </c>
      <c r="P109" s="6">
        <f>O109*12</f>
        <v>20.656080000000003</v>
      </c>
      <c r="Q109" s="6">
        <f>J109+O109</f>
        <v>3.29334</v>
      </c>
      <c r="R109" s="6">
        <f>K109+P109</f>
        <v>39.52008000000001</v>
      </c>
    </row>
    <row r="110" spans="1:18">
      <c r="A110" s="2" t="s">
        <v>61</v>
      </c>
      <c r="B110" s="3" t="s">
        <v>129</v>
      </c>
      <c r="C110" s="4">
        <v>950</v>
      </c>
      <c r="D110" s="4">
        <v>61</v>
      </c>
      <c r="E110" s="4">
        <f>C110</f>
        <v>950</v>
      </c>
      <c r="F110" s="4">
        <f>E110*3</f>
        <v>2850</v>
      </c>
      <c r="G110" s="5">
        <v>0.1</v>
      </c>
      <c r="H110" s="4">
        <f>F110*G110</f>
        <v>285.0</v>
      </c>
      <c r="I110" s="6">
        <v>5</v>
      </c>
      <c r="J110" s="6">
        <f>H110/1000*I110</f>
        <v>1.4249999999999998</v>
      </c>
      <c r="K110" s="6">
        <f>J110*12</f>
        <v>17.099999999999998</v>
      </c>
      <c r="L110" s="4">
        <f>E110*(1-G110)</f>
        <v>855.0</v>
      </c>
      <c r="M110" s="4">
        <f>L110*0.0005</f>
        <v>0.4275</v>
      </c>
      <c r="N110" s="4">
        <f>M110*0.5</f>
        <v>0.21375</v>
      </c>
      <c r="O110" s="6">
        <f>N110*7.30</f>
        <v>1.5603749999999998</v>
      </c>
      <c r="P110" s="6">
        <f>O110*12</f>
        <v>18.7245</v>
      </c>
      <c r="Q110" s="6">
        <f>J110+O110</f>
        <v>2.9853749999999994</v>
      </c>
      <c r="R110" s="6">
        <f>K110+P110</f>
        <v>35.8245</v>
      </c>
    </row>
    <row r="111" spans="1:18">
      <c r="A111" s="2" t="s">
        <v>61</v>
      </c>
      <c r="B111" s="3" t="s">
        <v>130</v>
      </c>
      <c r="C111" s="4">
        <v>582</v>
      </c>
      <c r="D111" s="4">
        <v>24</v>
      </c>
      <c r="E111" s="4">
        <f>C111</f>
        <v>582</v>
      </c>
      <c r="F111" s="4">
        <f>E111*3</f>
        <v>1746</v>
      </c>
      <c r="G111" s="5">
        <v>0.1</v>
      </c>
      <c r="H111" s="4">
        <f>F111*G111</f>
        <v>174.60000000000002</v>
      </c>
      <c r="I111" s="6">
        <v>5</v>
      </c>
      <c r="J111" s="6">
        <f>H111/1000*I111</f>
        <v>0.8730000000000002</v>
      </c>
      <c r="K111" s="6">
        <f>J111*12</f>
        <v>10.476000000000003</v>
      </c>
      <c r="L111" s="4">
        <f>E111*(1-G111)</f>
        <v>523.8000000000001</v>
      </c>
      <c r="M111" s="4">
        <f>L111*0.0005</f>
        <v>0.2619</v>
      </c>
      <c r="N111" s="4">
        <f>M111*0.5</f>
        <v>0.13095</v>
      </c>
      <c r="O111" s="6">
        <f>N111*7.30</f>
        <v>0.9559350000000001</v>
      </c>
      <c r="P111" s="6">
        <f>O111*12</f>
        <v>11.47122</v>
      </c>
      <c r="Q111" s="6">
        <f>J111+O111</f>
        <v>1.8289350000000004</v>
      </c>
      <c r="R111" s="6">
        <f>K111+P111</f>
        <v>21.94722</v>
      </c>
    </row>
    <row r="112" spans="1:18">
      <c r="A112" s="2" t="s">
        <v>61</v>
      </c>
      <c r="B112" s="3" t="s">
        <v>131</v>
      </c>
      <c r="C112" s="4">
        <v>578</v>
      </c>
      <c r="D112" s="4">
        <v>27</v>
      </c>
      <c r="E112" s="4">
        <f>C112</f>
        <v>578</v>
      </c>
      <c r="F112" s="4">
        <f>E112*3</f>
        <v>1734</v>
      </c>
      <c r="G112" s="5">
        <v>0.1</v>
      </c>
      <c r="H112" s="4">
        <f>F112*G112</f>
        <v>173.4</v>
      </c>
      <c r="I112" s="6">
        <v>5</v>
      </c>
      <c r="J112" s="6">
        <f>H112/1000*I112</f>
        <v>0.867</v>
      </c>
      <c r="K112" s="6">
        <f>J112*12</f>
        <v>10.404</v>
      </c>
      <c r="L112" s="4">
        <f>E112*(1-G112)</f>
        <v>520.2</v>
      </c>
      <c r="M112" s="4">
        <f>L112*0.0005</f>
        <v>0.26010000000000005</v>
      </c>
      <c r="N112" s="4">
        <f>M112*0.5</f>
        <v>0.13005000000000003</v>
      </c>
      <c r="O112" s="6">
        <f>N112*7.30</f>
        <v>0.9493650000000001</v>
      </c>
      <c r="P112" s="6">
        <f>O112*12</f>
        <v>11.392380000000001</v>
      </c>
      <c r="Q112" s="6">
        <f>J112+O112</f>
        <v>1.8163650000000002</v>
      </c>
      <c r="R112" s="6">
        <f>K112+P112</f>
        <v>21.79638</v>
      </c>
    </row>
    <row r="113" spans="1:18">
      <c r="A113" s="2" t="s">
        <v>61</v>
      </c>
      <c r="B113" s="3" t="s">
        <v>132</v>
      </c>
      <c r="C113" s="4">
        <v>568</v>
      </c>
      <c r="D113" s="4">
        <v>26</v>
      </c>
      <c r="E113" s="4">
        <f>C113</f>
        <v>568</v>
      </c>
      <c r="F113" s="4">
        <f>E113*3</f>
        <v>1704</v>
      </c>
      <c r="G113" s="5">
        <v>0.1</v>
      </c>
      <c r="H113" s="4">
        <f>F113*G113</f>
        <v>170.4</v>
      </c>
      <c r="I113" s="6">
        <v>5</v>
      </c>
      <c r="J113" s="6">
        <f>H113/1000*I113</f>
        <v>0.852</v>
      </c>
      <c r="K113" s="6">
        <f>J113*12</f>
        <v>10.224</v>
      </c>
      <c r="L113" s="4">
        <f>E113*(1-G113)</f>
        <v>511.2</v>
      </c>
      <c r="M113" s="4">
        <f>L113*0.0005</f>
        <v>0.2556</v>
      </c>
      <c r="N113" s="4">
        <f>M113*0.5</f>
        <v>0.1278</v>
      </c>
      <c r="O113" s="6">
        <f>N113*7.30</f>
        <v>0.93294</v>
      </c>
      <c r="P113" s="6">
        <f>O113*12</f>
        <v>11.19528</v>
      </c>
      <c r="Q113" s="6">
        <f>J113+O113</f>
        <v>1.78494</v>
      </c>
      <c r="R113" s="6">
        <f>K113+P113</f>
        <v>21.41928</v>
      </c>
    </row>
    <row r="114" spans="1:18">
      <c r="A114" s="2" t="s">
        <v>61</v>
      </c>
      <c r="B114" s="3" t="s">
        <v>133</v>
      </c>
      <c r="C114" s="4">
        <v>555</v>
      </c>
      <c r="D114" s="4">
        <v>16</v>
      </c>
      <c r="E114" s="4">
        <f>C114</f>
        <v>555</v>
      </c>
      <c r="F114" s="4">
        <f>E114*3</f>
        <v>1665</v>
      </c>
      <c r="G114" s="5">
        <v>0.1</v>
      </c>
      <c r="H114" s="4">
        <f>F114*G114</f>
        <v>166.5</v>
      </c>
      <c r="I114" s="6">
        <v>5</v>
      </c>
      <c r="J114" s="6">
        <f>H114/1000*I114</f>
        <v>0.8325</v>
      </c>
      <c r="K114" s="6">
        <f>J114*12</f>
        <v>9.99</v>
      </c>
      <c r="L114" s="4">
        <f>E114*(1-G114)</f>
        <v>499.5</v>
      </c>
      <c r="M114" s="4">
        <f>L114*0.0005</f>
        <v>0.24975</v>
      </c>
      <c r="N114" s="4">
        <f>M114*0.5</f>
        <v>0.124875</v>
      </c>
      <c r="O114" s="6">
        <f>N114*7.30</f>
        <v>0.9115875</v>
      </c>
      <c r="P114" s="6">
        <f>O114*12</f>
        <v>10.93905</v>
      </c>
      <c r="Q114" s="6">
        <f>J114+O114</f>
        <v>1.7440875</v>
      </c>
      <c r="R114" s="6">
        <f>K114+P114</f>
        <v>20.92905</v>
      </c>
    </row>
    <row r="115" spans="1:18">
      <c r="A115" s="2" t="s">
        <v>61</v>
      </c>
      <c r="B115" s="3" t="s">
        <v>134</v>
      </c>
      <c r="C115" s="4">
        <v>551</v>
      </c>
      <c r="D115" s="4">
        <v>24</v>
      </c>
      <c r="E115" s="4">
        <f>C115</f>
        <v>551</v>
      </c>
      <c r="F115" s="4">
        <f>E115*3</f>
        <v>1653</v>
      </c>
      <c r="G115" s="5">
        <v>0.1</v>
      </c>
      <c r="H115" s="4">
        <f>F115*G115</f>
        <v>165.3</v>
      </c>
      <c r="I115" s="6">
        <v>5</v>
      </c>
      <c r="J115" s="6">
        <f>H115/1000*I115</f>
        <v>0.8265</v>
      </c>
      <c r="K115" s="6">
        <f>J115*12</f>
        <v>9.918</v>
      </c>
      <c r="L115" s="4">
        <f>E115*(1-G115)</f>
        <v>495.90000000000003</v>
      </c>
      <c r="M115" s="4">
        <f>L115*0.0005</f>
        <v>0.24795000000000003</v>
      </c>
      <c r="N115" s="4">
        <f>M115*0.5</f>
        <v>0.12397500000000002</v>
      </c>
      <c r="O115" s="6">
        <f>N115*7.30</f>
        <v>0.9050175000000001</v>
      </c>
      <c r="P115" s="6">
        <f>O115*12</f>
        <v>10.860210000000002</v>
      </c>
      <c r="Q115" s="6">
        <f>J115+O115</f>
        <v>1.7315175000000003</v>
      </c>
      <c r="R115" s="6">
        <f>K115+P115</f>
        <v>20.77821</v>
      </c>
    </row>
    <row r="116" spans="1:18">
      <c r="A116" s="2" t="s">
        <v>61</v>
      </c>
      <c r="B116" s="3" t="s">
        <v>135</v>
      </c>
      <c r="C116" s="4">
        <v>518</v>
      </c>
      <c r="D116" s="4">
        <v>36</v>
      </c>
      <c r="E116" s="4">
        <f>C116</f>
        <v>518</v>
      </c>
      <c r="F116" s="4">
        <f>E116*3</f>
        <v>1554</v>
      </c>
      <c r="G116" s="5">
        <v>0.1</v>
      </c>
      <c r="H116" s="4">
        <f>F116*G116</f>
        <v>155.4</v>
      </c>
      <c r="I116" s="6">
        <v>5</v>
      </c>
      <c r="J116" s="6">
        <f>H116/1000*I116</f>
        <v>0.777</v>
      </c>
      <c r="K116" s="6">
        <f>J116*12</f>
        <v>9.324</v>
      </c>
      <c r="L116" s="4">
        <f>E116*(1-G116)</f>
        <v>466.2</v>
      </c>
      <c r="M116" s="4">
        <f>L116*0.0005</f>
        <v>0.2331</v>
      </c>
      <c r="N116" s="4">
        <f>M116*0.5</f>
        <v>0.11655</v>
      </c>
      <c r="O116" s="6">
        <f>N116*7.30</f>
        <v>0.850815</v>
      </c>
      <c r="P116" s="6">
        <f>O116*12</f>
        <v>10.20978</v>
      </c>
      <c r="Q116" s="6">
        <f>J116+O116</f>
        <v>1.627815</v>
      </c>
      <c r="R116" s="6">
        <f>K116+P116</f>
        <v>19.53378</v>
      </c>
    </row>
    <row r="117" spans="1:18">
      <c r="A117" s="2" t="s">
        <v>61</v>
      </c>
      <c r="B117" s="3" t="s">
        <v>136</v>
      </c>
      <c r="C117" s="4">
        <v>508</v>
      </c>
      <c r="D117" s="4">
        <v>21</v>
      </c>
      <c r="E117" s="4">
        <f>C117</f>
        <v>508</v>
      </c>
      <c r="F117" s="4">
        <f>E117*3</f>
        <v>1524</v>
      </c>
      <c r="G117" s="5">
        <v>0.1</v>
      </c>
      <c r="H117" s="4">
        <f>F117*G117</f>
        <v>152.4</v>
      </c>
      <c r="I117" s="6">
        <v>5</v>
      </c>
      <c r="J117" s="6">
        <f>H117/1000*I117</f>
        <v>0.762</v>
      </c>
      <c r="K117" s="6">
        <f>J117*12</f>
        <v>9.144</v>
      </c>
      <c r="L117" s="4">
        <f>E117*(1-G117)</f>
        <v>457.2</v>
      </c>
      <c r="M117" s="4">
        <f>L117*0.0005</f>
        <v>0.2286</v>
      </c>
      <c r="N117" s="4">
        <f>M117*0.5</f>
        <v>0.1143</v>
      </c>
      <c r="O117" s="6">
        <f>N117*7.30</f>
        <v>0.83439</v>
      </c>
      <c r="P117" s="6">
        <f>O117*12</f>
        <v>10.01268</v>
      </c>
      <c r="Q117" s="6">
        <f>J117+O117</f>
        <v>1.59639</v>
      </c>
      <c r="R117" s="6">
        <f>K117+P117</f>
        <v>19.15668</v>
      </c>
    </row>
    <row r="118" spans="1:18">
      <c r="A118" s="2" t="s">
        <v>61</v>
      </c>
      <c r="B118" s="3" t="s">
        <v>137</v>
      </c>
      <c r="C118" s="4">
        <v>505</v>
      </c>
      <c r="D118" s="4">
        <v>10</v>
      </c>
      <c r="E118" s="4">
        <f>C118</f>
        <v>505</v>
      </c>
      <c r="F118" s="4">
        <f>E118*3</f>
        <v>1515</v>
      </c>
      <c r="G118" s="5">
        <v>0.1</v>
      </c>
      <c r="H118" s="4">
        <f>F118*G118</f>
        <v>151.5</v>
      </c>
      <c r="I118" s="6">
        <v>5</v>
      </c>
      <c r="J118" s="6">
        <f>H118/1000*I118</f>
        <v>0.7575</v>
      </c>
      <c r="K118" s="6">
        <f>J118*12</f>
        <v>9.09</v>
      </c>
      <c r="L118" s="4">
        <f>E118*(1-G118)</f>
        <v>454.5</v>
      </c>
      <c r="M118" s="4">
        <f>L118*0.0005</f>
        <v>0.22725</v>
      </c>
      <c r="N118" s="4">
        <f>M118*0.5</f>
        <v>0.113625</v>
      </c>
      <c r="O118" s="6">
        <f>N118*7.30</f>
        <v>0.8294625</v>
      </c>
      <c r="P118" s="6">
        <f>O118*12</f>
        <v>9.95355</v>
      </c>
      <c r="Q118" s="6">
        <f>J118+O118</f>
        <v>1.5869624999999998</v>
      </c>
      <c r="R118" s="6">
        <f>K118+P118</f>
        <v>19.04355</v>
      </c>
    </row>
    <row r="119" spans="1:18">
      <c r="A119" s="2" t="s">
        <v>61</v>
      </c>
      <c r="B119" s="3" t="s">
        <v>138</v>
      </c>
      <c r="C119" s="4">
        <v>470</v>
      </c>
      <c r="D119" s="4">
        <v>453</v>
      </c>
      <c r="E119" s="4">
        <f>C119</f>
        <v>470</v>
      </c>
      <c r="F119" s="4">
        <f>E119*3</f>
        <v>1410</v>
      </c>
      <c r="G119" s="5">
        <v>0.1</v>
      </c>
      <c r="H119" s="4">
        <f>F119*G119</f>
        <v>141.0</v>
      </c>
      <c r="I119" s="6">
        <v>5</v>
      </c>
      <c r="J119" s="6">
        <f>H119/1000*I119</f>
        <v>0.705</v>
      </c>
      <c r="K119" s="6">
        <f>J119*12</f>
        <v>8.459999999999999</v>
      </c>
      <c r="L119" s="4">
        <f>E119*(1-G119)</f>
        <v>423.0</v>
      </c>
      <c r="M119" s="4">
        <f>L119*0.0005</f>
        <v>0.2115</v>
      </c>
      <c r="N119" s="4">
        <f>M119*0.5</f>
        <v>0.10575</v>
      </c>
      <c r="O119" s="6">
        <f>N119*7.30</f>
        <v>0.771975</v>
      </c>
      <c r="P119" s="6">
        <f>O119*12</f>
        <v>9.2637</v>
      </c>
      <c r="Q119" s="6">
        <f>J119+O119</f>
        <v>1.476975</v>
      </c>
      <c r="R119" s="6">
        <f>K119+P119</f>
        <v>17.7237</v>
      </c>
    </row>
    <row r="120" spans="1:18">
      <c r="A120" s="2" t="s">
        <v>61</v>
      </c>
      <c r="B120" s="3" t="s">
        <v>139</v>
      </c>
      <c r="C120" s="4">
        <v>407</v>
      </c>
      <c r="D120" s="4">
        <v>36</v>
      </c>
      <c r="E120" s="4">
        <f>C120</f>
        <v>407</v>
      </c>
      <c r="F120" s="4">
        <f>E120*3</f>
        <v>1221</v>
      </c>
      <c r="G120" s="5">
        <v>0.1</v>
      </c>
      <c r="H120" s="4">
        <f>F120*G120</f>
        <v>122.10000000000001</v>
      </c>
      <c r="I120" s="6">
        <v>5</v>
      </c>
      <c r="J120" s="6">
        <f>H120/1000*I120</f>
        <v>0.6105</v>
      </c>
      <c r="K120" s="6">
        <f>J120*12</f>
        <v>7.3260000000000005</v>
      </c>
      <c r="L120" s="4">
        <f>E120*(1-G120)</f>
        <v>366.3</v>
      </c>
      <c r="M120" s="4">
        <f>L120*0.0005</f>
        <v>0.18315</v>
      </c>
      <c r="N120" s="4">
        <f>M120*0.5</f>
        <v>0.091575</v>
      </c>
      <c r="O120" s="6">
        <f>N120*7.30</f>
        <v>0.6684975</v>
      </c>
      <c r="P120" s="6">
        <f>O120*12</f>
        <v>8.02197</v>
      </c>
      <c r="Q120" s="6">
        <f>J120+O120</f>
        <v>1.2789975</v>
      </c>
      <c r="R120" s="6">
        <f>K120+P120</f>
        <v>15.34797</v>
      </c>
    </row>
    <row r="121" spans="1:18">
      <c r="A121" s="2" t="s">
        <v>61</v>
      </c>
      <c r="B121" s="3" t="s">
        <v>140</v>
      </c>
      <c r="C121" s="4">
        <v>404</v>
      </c>
      <c r="D121" s="4">
        <v>21</v>
      </c>
      <c r="E121" s="4">
        <f>C121</f>
        <v>404</v>
      </c>
      <c r="F121" s="4">
        <f>E121*3</f>
        <v>1212</v>
      </c>
      <c r="G121" s="5">
        <v>0.1</v>
      </c>
      <c r="H121" s="4">
        <f>F121*G121</f>
        <v>121.2</v>
      </c>
      <c r="I121" s="6">
        <v>5</v>
      </c>
      <c r="J121" s="6">
        <f>H121/1000*I121</f>
        <v>0.606</v>
      </c>
      <c r="K121" s="6">
        <f>J121*12</f>
        <v>7.272</v>
      </c>
      <c r="L121" s="4">
        <f>E121*(1-G121)</f>
        <v>363.6</v>
      </c>
      <c r="M121" s="4">
        <f>L121*0.0005</f>
        <v>0.18180000000000002</v>
      </c>
      <c r="N121" s="4">
        <f>M121*0.5</f>
        <v>0.09090000000000001</v>
      </c>
      <c r="O121" s="6">
        <f>N121*7.30</f>
        <v>0.66357</v>
      </c>
      <c r="P121" s="6">
        <f>O121*12</f>
        <v>7.96284</v>
      </c>
      <c r="Q121" s="6">
        <f>J121+O121</f>
        <v>1.2695699999999999</v>
      </c>
      <c r="R121" s="6">
        <f>K121+P121</f>
        <v>15.23484</v>
      </c>
    </row>
    <row r="122" spans="1:18">
      <c r="A122" s="2" t="s">
        <v>61</v>
      </c>
      <c r="B122" s="3" t="s">
        <v>141</v>
      </c>
      <c r="C122" s="4">
        <v>376</v>
      </c>
      <c r="D122" s="4">
        <v>24</v>
      </c>
      <c r="E122" s="4">
        <f>C122</f>
        <v>376</v>
      </c>
      <c r="F122" s="4">
        <f>E122*3</f>
        <v>1128</v>
      </c>
      <c r="G122" s="5">
        <v>0.1</v>
      </c>
      <c r="H122" s="4">
        <f>F122*G122</f>
        <v>112.80000000000001</v>
      </c>
      <c r="I122" s="6">
        <v>5</v>
      </c>
      <c r="J122" s="6">
        <f>H122/1000*I122</f>
        <v>0.5640000000000001</v>
      </c>
      <c r="K122" s="6">
        <f>J122*12</f>
        <v>6.768000000000001</v>
      </c>
      <c r="L122" s="4">
        <f>E122*(1-G122)</f>
        <v>338.40000000000003</v>
      </c>
      <c r="M122" s="4">
        <f>L122*0.0005</f>
        <v>0.16920000000000002</v>
      </c>
      <c r="N122" s="4">
        <f>M122*0.5</f>
        <v>0.08460000000000001</v>
      </c>
      <c r="O122" s="6">
        <f>N122*7.30</f>
        <v>0.61758</v>
      </c>
      <c r="P122" s="6">
        <f>O122*12</f>
        <v>7.41096</v>
      </c>
      <c r="Q122" s="6">
        <f>J122+O122</f>
        <v>1.18158</v>
      </c>
      <c r="R122" s="6">
        <f>K122+P122</f>
        <v>14.17896</v>
      </c>
    </row>
    <row r="123" spans="1:18">
      <c r="A123" s="2" t="s">
        <v>61</v>
      </c>
      <c r="B123" s="3" t="s">
        <v>142</v>
      </c>
      <c r="C123" s="4">
        <v>354</v>
      </c>
      <c r="D123" s="4">
        <v>7</v>
      </c>
      <c r="E123" s="4">
        <f>C123</f>
        <v>354</v>
      </c>
      <c r="F123" s="4">
        <f>E123*3</f>
        <v>1062</v>
      </c>
      <c r="G123" s="5">
        <v>0.1</v>
      </c>
      <c r="H123" s="4">
        <f>F123*G123</f>
        <v>106.2</v>
      </c>
      <c r="I123" s="6">
        <v>5</v>
      </c>
      <c r="J123" s="6">
        <f>H123/1000*I123</f>
        <v>0.531</v>
      </c>
      <c r="K123" s="6">
        <f>J123*12</f>
        <v>6.372</v>
      </c>
      <c r="L123" s="4">
        <f>E123*(1-G123)</f>
        <v>318.6</v>
      </c>
      <c r="M123" s="4">
        <f>L123*0.0005</f>
        <v>0.15930000000000002</v>
      </c>
      <c r="N123" s="4">
        <f>M123*0.5</f>
        <v>0.07965000000000001</v>
      </c>
      <c r="O123" s="6">
        <f>N123*7.30</f>
        <v>0.5814450000000001</v>
      </c>
      <c r="P123" s="6">
        <f>O123*12</f>
        <v>6.977340000000002</v>
      </c>
      <c r="Q123" s="6">
        <f>J123+O123</f>
        <v>1.1124450000000001</v>
      </c>
      <c r="R123" s="6">
        <f>K123+P123</f>
        <v>13.349340000000002</v>
      </c>
    </row>
    <row r="124" spans="1:18">
      <c r="A124" s="2" t="s">
        <v>61</v>
      </c>
      <c r="B124" s="3" t="s">
        <v>143</v>
      </c>
      <c r="C124" s="4">
        <v>341</v>
      </c>
      <c r="D124" s="4">
        <v>12</v>
      </c>
      <c r="E124" s="4">
        <f>C124</f>
        <v>341</v>
      </c>
      <c r="F124" s="4">
        <f>E124*3</f>
        <v>1023</v>
      </c>
      <c r="G124" s="5">
        <v>0.1</v>
      </c>
      <c r="H124" s="4">
        <f>F124*G124</f>
        <v>102.30000000000001</v>
      </c>
      <c r="I124" s="6">
        <v>5</v>
      </c>
      <c r="J124" s="6">
        <f>H124/1000*I124</f>
        <v>0.5115000000000001</v>
      </c>
      <c r="K124" s="6">
        <f>J124*12</f>
        <v>6.138000000000001</v>
      </c>
      <c r="L124" s="4">
        <f>E124*(1-G124)</f>
        <v>306.90000000000003</v>
      </c>
      <c r="M124" s="4">
        <f>L124*0.0005</f>
        <v>0.15345000000000003</v>
      </c>
      <c r="N124" s="4">
        <f>M124*0.5</f>
        <v>0.07672500000000002</v>
      </c>
      <c r="O124" s="6">
        <f>N124*7.30</f>
        <v>0.5600925000000001</v>
      </c>
      <c r="P124" s="6">
        <f>O124*12</f>
        <v>6.721110000000001</v>
      </c>
      <c r="Q124" s="6">
        <f>J124+O124</f>
        <v>1.0715925000000002</v>
      </c>
      <c r="R124" s="6">
        <f>K124+P124</f>
        <v>12.859110000000001</v>
      </c>
    </row>
    <row r="125" spans="1:18">
      <c r="A125" s="2" t="s">
        <v>61</v>
      </c>
      <c r="B125" s="3" t="s">
        <v>144</v>
      </c>
      <c r="C125" s="4">
        <v>306</v>
      </c>
      <c r="D125" s="4">
        <v>26</v>
      </c>
      <c r="E125" s="4">
        <f>C125</f>
        <v>306</v>
      </c>
      <c r="F125" s="4">
        <f>E125*3</f>
        <v>918</v>
      </c>
      <c r="G125" s="5">
        <v>0.1</v>
      </c>
      <c r="H125" s="4">
        <f>F125*G125</f>
        <v>91.80000000000001</v>
      </c>
      <c r="I125" s="6">
        <v>5</v>
      </c>
      <c r="J125" s="6">
        <f>H125/1000*I125</f>
        <v>0.459</v>
      </c>
      <c r="K125" s="6">
        <f>J125*12</f>
        <v>5.508</v>
      </c>
      <c r="L125" s="4">
        <f>E125*(1-G125)</f>
        <v>275.40000000000003</v>
      </c>
      <c r="M125" s="4">
        <f>L125*0.0005</f>
        <v>0.13770000000000002</v>
      </c>
      <c r="N125" s="4">
        <f>M125*0.5</f>
        <v>0.06885000000000001</v>
      </c>
      <c r="O125" s="6">
        <f>N125*7.30</f>
        <v>0.5026050000000001</v>
      </c>
      <c r="P125" s="6">
        <f>O125*12</f>
        <v>6.031260000000001</v>
      </c>
      <c r="Q125" s="6">
        <f>J125+O125</f>
        <v>0.961605</v>
      </c>
      <c r="R125" s="6">
        <f>K125+P125</f>
        <v>11.539260000000002</v>
      </c>
    </row>
    <row r="126" spans="1:18">
      <c r="A126" s="2" t="s">
        <v>61</v>
      </c>
      <c r="B126" s="3" t="s">
        <v>145</v>
      </c>
      <c r="C126" s="4">
        <v>193</v>
      </c>
      <c r="D126" s="4">
        <v>16</v>
      </c>
      <c r="E126" s="4">
        <f>C126</f>
        <v>193</v>
      </c>
      <c r="F126" s="4">
        <f>E126*3</f>
        <v>579</v>
      </c>
      <c r="G126" s="5">
        <v>0.1</v>
      </c>
      <c r="H126" s="4">
        <f>F126*G126</f>
        <v>57.900000000000006</v>
      </c>
      <c r="I126" s="6">
        <v>5</v>
      </c>
      <c r="J126" s="6">
        <f>H126/1000*I126</f>
        <v>0.28950000000000004</v>
      </c>
      <c r="K126" s="6">
        <f>J126*12</f>
        <v>3.474</v>
      </c>
      <c r="L126" s="4">
        <f>E126*(1-G126)</f>
        <v>173.70000000000002</v>
      </c>
      <c r="M126" s="4">
        <f>L126*0.0005</f>
        <v>0.08685000000000001</v>
      </c>
      <c r="N126" s="4">
        <f>M126*0.5</f>
        <v>0.043425000000000005</v>
      </c>
      <c r="O126" s="6">
        <f>N126*7.30</f>
        <v>0.3170025</v>
      </c>
      <c r="P126" s="6">
        <f>O126*12</f>
        <v>3.80403</v>
      </c>
      <c r="Q126" s="6">
        <f>J126+O126</f>
        <v>0.6065025</v>
      </c>
      <c r="R126" s="6">
        <f>K126+P126</f>
        <v>7.27803</v>
      </c>
    </row>
    <row r="127" spans="1:18">
      <c r="A127" s="2" t="s">
        <v>61</v>
      </c>
      <c r="B127" s="3" t="s">
        <v>146</v>
      </c>
      <c r="C127" s="4">
        <v>193</v>
      </c>
      <c r="D127" s="4">
        <v>7</v>
      </c>
      <c r="E127" s="4">
        <f>C127</f>
        <v>193</v>
      </c>
      <c r="F127" s="4">
        <f>E127*3</f>
        <v>579</v>
      </c>
      <c r="G127" s="5">
        <v>0.1</v>
      </c>
      <c r="H127" s="4">
        <f>F127*G127</f>
        <v>57.900000000000006</v>
      </c>
      <c r="I127" s="6">
        <v>5</v>
      </c>
      <c r="J127" s="6">
        <f>H127/1000*I127</f>
        <v>0.28950000000000004</v>
      </c>
      <c r="K127" s="6">
        <f>J127*12</f>
        <v>3.474</v>
      </c>
      <c r="L127" s="4">
        <f>E127*(1-G127)</f>
        <v>173.70000000000002</v>
      </c>
      <c r="M127" s="4">
        <f>L127*0.0005</f>
        <v>0.08685000000000001</v>
      </c>
      <c r="N127" s="4">
        <f>M127*0.5</f>
        <v>0.043425000000000005</v>
      </c>
      <c r="O127" s="6">
        <f>N127*7.30</f>
        <v>0.3170025</v>
      </c>
      <c r="P127" s="6">
        <f>O127*12</f>
        <v>3.80403</v>
      </c>
      <c r="Q127" s="6">
        <f>J127+O127</f>
        <v>0.6065025</v>
      </c>
      <c r="R127" s="6">
        <f>K127+P127</f>
        <v>7.27803</v>
      </c>
    </row>
    <row r="128" spans="1:18">
      <c r="A128" s="2" t="s">
        <v>61</v>
      </c>
      <c r="B128" s="3" t="s">
        <v>147</v>
      </c>
      <c r="C128" s="4">
        <v>193</v>
      </c>
      <c r="D128" s="4">
        <v>6</v>
      </c>
      <c r="E128" s="4">
        <f>C128</f>
        <v>193</v>
      </c>
      <c r="F128" s="4">
        <f>E128*3</f>
        <v>579</v>
      </c>
      <c r="G128" s="5">
        <v>0.1</v>
      </c>
      <c r="H128" s="4">
        <f>F128*G128</f>
        <v>57.900000000000006</v>
      </c>
      <c r="I128" s="6">
        <v>5</v>
      </c>
      <c r="J128" s="6">
        <f>H128/1000*I128</f>
        <v>0.28950000000000004</v>
      </c>
      <c r="K128" s="6">
        <f>J128*12</f>
        <v>3.474</v>
      </c>
      <c r="L128" s="4">
        <f>E128*(1-G128)</f>
        <v>173.70000000000002</v>
      </c>
      <c r="M128" s="4">
        <f>L128*0.0005</f>
        <v>0.08685000000000001</v>
      </c>
      <c r="N128" s="4">
        <f>M128*0.5</f>
        <v>0.043425000000000005</v>
      </c>
      <c r="O128" s="6">
        <f>N128*7.30</f>
        <v>0.3170025</v>
      </c>
      <c r="P128" s="6">
        <f>O128*12</f>
        <v>3.80403</v>
      </c>
      <c r="Q128" s="6">
        <f>J128+O128</f>
        <v>0.6065025</v>
      </c>
      <c r="R128" s="6">
        <f>K128+P128</f>
        <v>7.27803</v>
      </c>
    </row>
    <row r="129" spans="1:18">
      <c r="A129" s="2" t="s">
        <v>61</v>
      </c>
      <c r="B129" s="3" t="s">
        <v>148</v>
      </c>
      <c r="C129" s="4">
        <v>192</v>
      </c>
      <c r="D129" s="4">
        <v>3</v>
      </c>
      <c r="E129" s="4">
        <f>C129</f>
        <v>192</v>
      </c>
      <c r="F129" s="4">
        <f>E129*3</f>
        <v>576</v>
      </c>
      <c r="G129" s="5">
        <v>0.1</v>
      </c>
      <c r="H129" s="4">
        <f>F129*G129</f>
        <v>57.6</v>
      </c>
      <c r="I129" s="6">
        <v>5</v>
      </c>
      <c r="J129" s="6">
        <f>H129/1000*I129</f>
        <v>0.288</v>
      </c>
      <c r="K129" s="6">
        <f>J129*12</f>
        <v>3.4559999999999995</v>
      </c>
      <c r="L129" s="4">
        <f>E129*(1-G129)</f>
        <v>172.8</v>
      </c>
      <c r="M129" s="4">
        <f>L129*0.0005</f>
        <v>0.0864</v>
      </c>
      <c r="N129" s="4">
        <f>M129*0.5</f>
        <v>0.0432</v>
      </c>
      <c r="O129" s="6">
        <f>N129*7.30</f>
        <v>0.31536000000000003</v>
      </c>
      <c r="P129" s="6">
        <f>O129*12</f>
        <v>3.78432</v>
      </c>
      <c r="Q129" s="6">
        <f>J129+O129</f>
        <v>0.60336</v>
      </c>
      <c r="R129" s="6">
        <f>K129+P129</f>
        <v>7.24032</v>
      </c>
    </row>
    <row r="130" spans="1:18">
      <c r="A130" s="2" t="s">
        <v>61</v>
      </c>
      <c r="B130" s="3" t="s">
        <v>149</v>
      </c>
      <c r="C130" s="4">
        <v>165</v>
      </c>
      <c r="D130" s="4">
        <v>14</v>
      </c>
      <c r="E130" s="4">
        <f>C130</f>
        <v>165</v>
      </c>
      <c r="F130" s="4">
        <f>E130*3</f>
        <v>495</v>
      </c>
      <c r="G130" s="5">
        <v>0.1</v>
      </c>
      <c r="H130" s="4">
        <f>F130*G130</f>
        <v>49.5</v>
      </c>
      <c r="I130" s="6">
        <v>5</v>
      </c>
      <c r="J130" s="6">
        <f>H130/1000*I130</f>
        <v>0.2475</v>
      </c>
      <c r="K130" s="6">
        <f>J130*12</f>
        <v>2.9699999999999998</v>
      </c>
      <c r="L130" s="4">
        <f>E130*(1-G130)</f>
        <v>148.5</v>
      </c>
      <c r="M130" s="4">
        <f>L130*0.0005</f>
        <v>0.07425</v>
      </c>
      <c r="N130" s="4">
        <f>M130*0.5</f>
        <v>0.037125</v>
      </c>
      <c r="O130" s="6">
        <f>N130*7.30</f>
        <v>0.2710125</v>
      </c>
      <c r="P130" s="6">
        <f>O130*12</f>
        <v>3.25215</v>
      </c>
      <c r="Q130" s="6">
        <f>J130+O130</f>
        <v>0.5185124999999999</v>
      </c>
      <c r="R130" s="6">
        <f>K130+P130</f>
        <v>6.222149999999999</v>
      </c>
    </row>
    <row r="131" spans="1:18">
      <c r="A131" s="2" t="s">
        <v>61</v>
      </c>
      <c r="B131" s="3" t="s">
        <v>150</v>
      </c>
      <c r="C131" s="4">
        <v>160</v>
      </c>
      <c r="D131" s="4">
        <v>6</v>
      </c>
      <c r="E131" s="4">
        <f>C131</f>
        <v>160</v>
      </c>
      <c r="F131" s="4">
        <f>E131*3</f>
        <v>480</v>
      </c>
      <c r="G131" s="5">
        <v>0.1</v>
      </c>
      <c r="H131" s="4">
        <f>F131*G131</f>
        <v>48.0</v>
      </c>
      <c r="I131" s="6">
        <v>5</v>
      </c>
      <c r="J131" s="6">
        <f>H131/1000*I131</f>
        <v>0.24</v>
      </c>
      <c r="K131" s="6">
        <f>J131*12</f>
        <v>2.88</v>
      </c>
      <c r="L131" s="4">
        <f>E131*(1-G131)</f>
        <v>144.0</v>
      </c>
      <c r="M131" s="4">
        <f>L131*0.0005</f>
        <v>0.07200000000000001</v>
      </c>
      <c r="N131" s="4">
        <f>M131*0.5</f>
        <v>0.036000000000000004</v>
      </c>
      <c r="O131" s="6">
        <f>N131*7.30</f>
        <v>0.26280000000000003</v>
      </c>
      <c r="P131" s="6">
        <f>O131*12</f>
        <v>3.1536000000000004</v>
      </c>
      <c r="Q131" s="6">
        <f>J131+O131</f>
        <v>0.5028</v>
      </c>
      <c r="R131" s="6">
        <f>K131+P131</f>
        <v>6.0336</v>
      </c>
    </row>
    <row r="132" spans="1:18">
      <c r="A132" s="2" t="s">
        <v>61</v>
      </c>
      <c r="B132" s="3" t="s">
        <v>151</v>
      </c>
      <c r="C132" s="4">
        <v>153</v>
      </c>
      <c r="D132" s="4">
        <v>7</v>
      </c>
      <c r="E132" s="4">
        <f>C132</f>
        <v>153</v>
      </c>
      <c r="F132" s="4">
        <f>E132*3</f>
        <v>459</v>
      </c>
      <c r="G132" s="5">
        <v>0.1</v>
      </c>
      <c r="H132" s="4">
        <f>F132*G132</f>
        <v>45.900000000000006</v>
      </c>
      <c r="I132" s="6">
        <v>5</v>
      </c>
      <c r="J132" s="6">
        <f>H132/1000*I132</f>
        <v>0.2295</v>
      </c>
      <c r="K132" s="6">
        <f>J132*12</f>
        <v>2.754</v>
      </c>
      <c r="L132" s="4">
        <f>E132*(1-G132)</f>
        <v>137.70000000000002</v>
      </c>
      <c r="M132" s="4">
        <f>L132*0.0005</f>
        <v>0.06885000000000001</v>
      </c>
      <c r="N132" s="4">
        <f>M132*0.5</f>
        <v>0.034425000000000004</v>
      </c>
      <c r="O132" s="6">
        <f>N132*7.30</f>
        <v>0.25130250000000004</v>
      </c>
      <c r="P132" s="6">
        <f>O132*12</f>
        <v>3.0156300000000007</v>
      </c>
      <c r="Q132" s="6">
        <f>J132+O132</f>
        <v>0.4808025</v>
      </c>
      <c r="R132" s="6">
        <f>K132+P132</f>
        <v>5.769630000000001</v>
      </c>
    </row>
    <row r="133" spans="1:18">
      <c r="A133" s="2" t="s">
        <v>61</v>
      </c>
      <c r="B133" s="3" t="s">
        <v>152</v>
      </c>
      <c r="C133" s="4">
        <v>145</v>
      </c>
      <c r="D133" s="4">
        <v>3</v>
      </c>
      <c r="E133" s="4">
        <f>C133</f>
        <v>145</v>
      </c>
      <c r="F133" s="4">
        <f>E133*3</f>
        <v>435</v>
      </c>
      <c r="G133" s="5">
        <v>0.1</v>
      </c>
      <c r="H133" s="4">
        <f>F133*G133</f>
        <v>43.5</v>
      </c>
      <c r="I133" s="6">
        <v>5</v>
      </c>
      <c r="J133" s="6">
        <f>H133/1000*I133</f>
        <v>0.21749999999999997</v>
      </c>
      <c r="K133" s="6">
        <f>J133*12</f>
        <v>2.6099999999999994</v>
      </c>
      <c r="L133" s="4">
        <f>E133*(1-G133)</f>
        <v>130.5</v>
      </c>
      <c r="M133" s="4">
        <f>L133*0.0005</f>
        <v>0.06525</v>
      </c>
      <c r="N133" s="4">
        <f>M133*0.5</f>
        <v>0.032625</v>
      </c>
      <c r="O133" s="6">
        <f>N133*7.30</f>
        <v>0.2381625</v>
      </c>
      <c r="P133" s="6">
        <f>O133*12</f>
        <v>2.8579499999999998</v>
      </c>
      <c r="Q133" s="6">
        <f>J133+O133</f>
        <v>0.45566249999999997</v>
      </c>
      <c r="R133" s="6">
        <f>K133+P133</f>
        <v>5.467949999999999</v>
      </c>
    </row>
    <row r="134" spans="1:18">
      <c r="A134" s="2" t="s">
        <v>61</v>
      </c>
      <c r="B134" s="3" t="s">
        <v>153</v>
      </c>
      <c r="C134" s="4">
        <v>144</v>
      </c>
      <c r="D134" s="4">
        <v>8</v>
      </c>
      <c r="E134" s="4">
        <f>C134</f>
        <v>144</v>
      </c>
      <c r="F134" s="4">
        <f>E134*3</f>
        <v>432</v>
      </c>
      <c r="G134" s="5">
        <v>0.1</v>
      </c>
      <c r="H134" s="4">
        <f>F134*G134</f>
        <v>43.2</v>
      </c>
      <c r="I134" s="6">
        <v>5</v>
      </c>
      <c r="J134" s="6">
        <f>H134/1000*I134</f>
        <v>0.21600000000000003</v>
      </c>
      <c r="K134" s="6">
        <f>J134*12</f>
        <v>2.5920000000000005</v>
      </c>
      <c r="L134" s="4">
        <f>E134*(1-G134)</f>
        <v>129.6</v>
      </c>
      <c r="M134" s="4">
        <f>L134*0.0005</f>
        <v>0.0648</v>
      </c>
      <c r="N134" s="4">
        <f>M134*0.5</f>
        <v>0.0324</v>
      </c>
      <c r="O134" s="6">
        <f>N134*7.30</f>
        <v>0.23651999999999998</v>
      </c>
      <c r="P134" s="6">
        <f>O134*12</f>
        <v>2.83824</v>
      </c>
      <c r="Q134" s="6">
        <f>J134+O134</f>
        <v>0.45252000000000003</v>
      </c>
      <c r="R134" s="6">
        <f>K134+P134</f>
        <v>5.43024</v>
      </c>
    </row>
    <row r="135" spans="1:18">
      <c r="A135" s="2" t="s">
        <v>61</v>
      </c>
      <c r="B135" s="3" t="s">
        <v>154</v>
      </c>
      <c r="C135" s="4">
        <v>139</v>
      </c>
      <c r="D135" s="4">
        <v>3</v>
      </c>
      <c r="E135" s="4">
        <f>C135</f>
        <v>139</v>
      </c>
      <c r="F135" s="4">
        <f>E135*3</f>
        <v>417</v>
      </c>
      <c r="G135" s="5">
        <v>0.1</v>
      </c>
      <c r="H135" s="4">
        <f>F135*G135</f>
        <v>41.7</v>
      </c>
      <c r="I135" s="6">
        <v>5</v>
      </c>
      <c r="J135" s="6">
        <f>H135/1000*I135</f>
        <v>0.20850000000000002</v>
      </c>
      <c r="K135" s="6">
        <f>J135*12</f>
        <v>2.5020000000000002</v>
      </c>
      <c r="L135" s="4">
        <f>E135*(1-G135)</f>
        <v>125.10000000000001</v>
      </c>
      <c r="M135" s="4">
        <f>L135*0.0005</f>
        <v>0.06255000000000001</v>
      </c>
      <c r="N135" s="4">
        <f>M135*0.5</f>
        <v>0.031275000000000004</v>
      </c>
      <c r="O135" s="6">
        <f>N135*7.30</f>
        <v>0.22830750000000002</v>
      </c>
      <c r="P135" s="6">
        <f>O135*12</f>
        <v>2.7396900000000004</v>
      </c>
      <c r="Q135" s="6">
        <f>J135+O135</f>
        <v>0.4368075</v>
      </c>
      <c r="R135" s="6">
        <f>K135+P135</f>
        <v>5.24169</v>
      </c>
    </row>
    <row r="136" spans="1:18">
      <c r="A136" s="2" t="s">
        <v>61</v>
      </c>
      <c r="B136" s="3" t="s">
        <v>155</v>
      </c>
      <c r="C136" s="4">
        <v>120</v>
      </c>
      <c r="D136" s="4">
        <v>23</v>
      </c>
      <c r="E136" s="4">
        <f>C136</f>
        <v>120</v>
      </c>
      <c r="F136" s="4">
        <f>E136*3</f>
        <v>360</v>
      </c>
      <c r="G136" s="5">
        <v>0.1</v>
      </c>
      <c r="H136" s="4">
        <f>F136*G136</f>
        <v>36.0</v>
      </c>
      <c r="I136" s="6">
        <v>5</v>
      </c>
      <c r="J136" s="6">
        <f>H136/1000*I136</f>
        <v>0.18</v>
      </c>
      <c r="K136" s="6">
        <f>J136*12</f>
        <v>2.16</v>
      </c>
      <c r="L136" s="4">
        <f>E136*(1-G136)</f>
        <v>108.0</v>
      </c>
      <c r="M136" s="4">
        <f>L136*0.0005</f>
        <v>0.054</v>
      </c>
      <c r="N136" s="4">
        <f>M136*0.5</f>
        <v>0.027</v>
      </c>
      <c r="O136" s="6">
        <f>N136*7.30</f>
        <v>0.1971</v>
      </c>
      <c r="P136" s="6">
        <f>O136*12</f>
        <v>2.3651999999999997</v>
      </c>
      <c r="Q136" s="6">
        <f>J136+O136</f>
        <v>0.3771</v>
      </c>
      <c r="R136" s="6">
        <f>K136+P136</f>
        <v>4.5252</v>
      </c>
    </row>
    <row r="137" spans="1:18">
      <c r="A137" s="2" t="s">
        <v>61</v>
      </c>
      <c r="B137" s="3" t="s">
        <v>156</v>
      </c>
      <c r="C137" s="4">
        <v>117</v>
      </c>
      <c r="D137" s="4">
        <v>2</v>
      </c>
      <c r="E137" s="4">
        <f>C137</f>
        <v>117</v>
      </c>
      <c r="F137" s="4">
        <f>E137*3</f>
        <v>351</v>
      </c>
      <c r="G137" s="5">
        <v>0.1</v>
      </c>
      <c r="H137" s="4">
        <f>F137*G137</f>
        <v>35.1</v>
      </c>
      <c r="I137" s="6">
        <v>5</v>
      </c>
      <c r="J137" s="6">
        <f>H137/1000*I137</f>
        <v>0.1755</v>
      </c>
      <c r="K137" s="6">
        <f>J137*12</f>
        <v>2.106</v>
      </c>
      <c r="L137" s="4">
        <f>E137*(1-G137)</f>
        <v>105.3</v>
      </c>
      <c r="M137" s="4">
        <f>L137*0.0005</f>
        <v>0.05265</v>
      </c>
      <c r="N137" s="4">
        <f>M137*0.5</f>
        <v>0.026325</v>
      </c>
      <c r="O137" s="6">
        <f>N137*7.30</f>
        <v>0.1921725</v>
      </c>
      <c r="P137" s="6">
        <f>O137*12</f>
        <v>2.30607</v>
      </c>
      <c r="Q137" s="6">
        <f>J137+O137</f>
        <v>0.36767249999999996</v>
      </c>
      <c r="R137" s="6">
        <f>K137+P137</f>
        <v>4.41207</v>
      </c>
    </row>
    <row r="138" spans="1:18">
      <c r="A138" s="2" t="s">
        <v>61</v>
      </c>
      <c r="B138" s="3" t="s">
        <v>157</v>
      </c>
      <c r="C138" s="4">
        <v>85</v>
      </c>
      <c r="D138" s="4">
        <v>3</v>
      </c>
      <c r="E138" s="4">
        <f>C138</f>
        <v>85</v>
      </c>
      <c r="F138" s="4">
        <f>E138*3</f>
        <v>255</v>
      </c>
      <c r="G138" s="5">
        <v>0.1</v>
      </c>
      <c r="H138" s="4">
        <f>F138*G138</f>
        <v>25.5</v>
      </c>
      <c r="I138" s="6">
        <v>5</v>
      </c>
      <c r="J138" s="6">
        <f>H138/1000*I138</f>
        <v>0.1275</v>
      </c>
      <c r="K138" s="6">
        <f>J138*12</f>
        <v>1.53</v>
      </c>
      <c r="L138" s="4">
        <f>E138*(1-G138)</f>
        <v>76.5</v>
      </c>
      <c r="M138" s="4">
        <f>L138*0.0005</f>
        <v>0.03825</v>
      </c>
      <c r="N138" s="4">
        <f>M138*0.5</f>
        <v>0.019125</v>
      </c>
      <c r="O138" s="6">
        <f>N138*7.30</f>
        <v>0.1396125</v>
      </c>
      <c r="P138" s="6">
        <f>O138*12</f>
        <v>1.67535</v>
      </c>
      <c r="Q138" s="6">
        <f>J138+O138</f>
        <v>0.2671125</v>
      </c>
      <c r="R138" s="6">
        <f>K138+P138</f>
        <v>3.20535</v>
      </c>
    </row>
    <row r="139" spans="1:18">
      <c r="A139" s="2" t="s">
        <v>61</v>
      </c>
      <c r="B139" s="3" t="s">
        <v>158</v>
      </c>
      <c r="C139" s="4">
        <v>82</v>
      </c>
      <c r="D139" s="4">
        <v>8</v>
      </c>
      <c r="E139" s="4">
        <f>C139</f>
        <v>82</v>
      </c>
      <c r="F139" s="4">
        <f>E139*3</f>
        <v>246</v>
      </c>
      <c r="G139" s="5">
        <v>0.1</v>
      </c>
      <c r="H139" s="4">
        <f>F139*G139</f>
        <v>24.6</v>
      </c>
      <c r="I139" s="6">
        <v>5</v>
      </c>
      <c r="J139" s="6">
        <f>H139/1000*I139</f>
        <v>0.123</v>
      </c>
      <c r="K139" s="6">
        <f>J139*12</f>
        <v>1.476</v>
      </c>
      <c r="L139" s="4">
        <f>E139*(1-G139)</f>
        <v>73.8</v>
      </c>
      <c r="M139" s="4">
        <f>L139*0.0005</f>
        <v>0.0369</v>
      </c>
      <c r="N139" s="4">
        <f>M139*0.5</f>
        <v>0.01845</v>
      </c>
      <c r="O139" s="6">
        <f>N139*7.30</f>
        <v>0.134685</v>
      </c>
      <c r="P139" s="6">
        <f>O139*12</f>
        <v>1.61622</v>
      </c>
      <c r="Q139" s="6">
        <f>J139+O139</f>
        <v>0.257685</v>
      </c>
      <c r="R139" s="6">
        <f>K139+P139</f>
        <v>3.09222</v>
      </c>
    </row>
    <row r="140" spans="1:18">
      <c r="A140" s="2" t="s">
        <v>61</v>
      </c>
      <c r="B140" s="3" t="s">
        <v>159</v>
      </c>
      <c r="C140" s="4">
        <v>75</v>
      </c>
      <c r="D140" s="4">
        <v>1</v>
      </c>
      <c r="E140" s="4">
        <f>C140</f>
        <v>75</v>
      </c>
      <c r="F140" s="4">
        <f>E140*3</f>
        <v>225</v>
      </c>
      <c r="G140" s="5">
        <v>0.1</v>
      </c>
      <c r="H140" s="4">
        <f>F140*G140</f>
        <v>22.5</v>
      </c>
      <c r="I140" s="6">
        <v>5</v>
      </c>
      <c r="J140" s="6">
        <f>H140/1000*I140</f>
        <v>0.11249999999999999</v>
      </c>
      <c r="K140" s="6">
        <f>J140*12</f>
        <v>1.3499999999999999</v>
      </c>
      <c r="L140" s="4">
        <f>E140*(1-G140)</f>
        <v>67.5</v>
      </c>
      <c r="M140" s="4">
        <f>L140*0.0005</f>
        <v>0.03375</v>
      </c>
      <c r="N140" s="4">
        <f>M140*0.5</f>
        <v>0.016875</v>
      </c>
      <c r="O140" s="6">
        <f>N140*7.30</f>
        <v>0.1231875</v>
      </c>
      <c r="P140" s="6">
        <f>O140*12</f>
        <v>1.47825</v>
      </c>
      <c r="Q140" s="6">
        <f>J140+O140</f>
        <v>0.2356875</v>
      </c>
      <c r="R140" s="6">
        <f>K140+P140</f>
        <v>2.8282499999999997</v>
      </c>
    </row>
    <row r="141" spans="1:18">
      <c r="A141" s="2" t="s">
        <v>61</v>
      </c>
      <c r="B141" s="3" t="s">
        <v>160</v>
      </c>
      <c r="C141" s="4">
        <v>71</v>
      </c>
      <c r="D141" s="4">
        <v>6</v>
      </c>
      <c r="E141" s="4">
        <f>C141</f>
        <v>71</v>
      </c>
      <c r="F141" s="4">
        <f>E141*3</f>
        <v>213</v>
      </c>
      <c r="G141" s="5">
        <v>0.1</v>
      </c>
      <c r="H141" s="4">
        <f>F141*G141</f>
        <v>21.3</v>
      </c>
      <c r="I141" s="6">
        <v>5</v>
      </c>
      <c r="J141" s="6">
        <f>H141/1000*I141</f>
        <v>0.1065</v>
      </c>
      <c r="K141" s="6">
        <f>J141*12</f>
        <v>1.278</v>
      </c>
      <c r="L141" s="4">
        <f>E141*(1-G141)</f>
        <v>63.9</v>
      </c>
      <c r="M141" s="4">
        <f>L141*0.0005</f>
        <v>0.03195</v>
      </c>
      <c r="N141" s="4">
        <f>M141*0.5</f>
        <v>0.015975</v>
      </c>
      <c r="O141" s="6">
        <f>N141*7.30</f>
        <v>0.1166175</v>
      </c>
      <c r="P141" s="6">
        <f>O141*12</f>
        <v>1.39941</v>
      </c>
      <c r="Q141" s="6">
        <f>J141+O141</f>
        <v>0.2231175</v>
      </c>
      <c r="R141" s="6">
        <f>K141+P141</f>
        <v>2.67741</v>
      </c>
    </row>
    <row r="142" spans="1:18">
      <c r="A142" s="2" t="s">
        <v>61</v>
      </c>
      <c r="B142" s="3" t="s">
        <v>161</v>
      </c>
      <c r="C142" s="4">
        <v>63</v>
      </c>
      <c r="D142" s="4">
        <v>13</v>
      </c>
      <c r="E142" s="4">
        <f>C142</f>
        <v>63</v>
      </c>
      <c r="F142" s="4">
        <f>E142*3</f>
        <v>189</v>
      </c>
      <c r="G142" s="5">
        <v>0.1</v>
      </c>
      <c r="H142" s="4">
        <f>F142*G142</f>
        <v>18.900000000000002</v>
      </c>
      <c r="I142" s="6">
        <v>5</v>
      </c>
      <c r="J142" s="6">
        <f>H142/1000*I142</f>
        <v>0.09450000000000001</v>
      </c>
      <c r="K142" s="6">
        <f>J142*12</f>
        <v>1.1340000000000001</v>
      </c>
      <c r="L142" s="4">
        <f>E142*(1-G142)</f>
        <v>56.7</v>
      </c>
      <c r="M142" s="4">
        <f>L142*0.0005</f>
        <v>0.028350000000000004</v>
      </c>
      <c r="N142" s="4">
        <f>M142*0.5</f>
        <v>0.014175000000000002</v>
      </c>
      <c r="O142" s="6">
        <f>N142*7.30</f>
        <v>0.10347750000000001</v>
      </c>
      <c r="P142" s="6">
        <f>O142*12</f>
        <v>1.2417300000000002</v>
      </c>
      <c r="Q142" s="6">
        <f>J142+O142</f>
        <v>0.19797750000000003</v>
      </c>
      <c r="R142" s="6">
        <f>K142+P142</f>
        <v>2.3757300000000003</v>
      </c>
    </row>
    <row r="143" spans="1:18">
      <c r="A143" s="2" t="s">
        <v>61</v>
      </c>
      <c r="B143" s="3" t="s">
        <v>162</v>
      </c>
      <c r="C143" s="4">
        <v>63</v>
      </c>
      <c r="D143" s="4">
        <v>4</v>
      </c>
      <c r="E143" s="4">
        <f>C143</f>
        <v>63</v>
      </c>
      <c r="F143" s="4">
        <f>E143*3</f>
        <v>189</v>
      </c>
      <c r="G143" s="5">
        <v>0.1</v>
      </c>
      <c r="H143" s="4">
        <f>F143*G143</f>
        <v>18.900000000000002</v>
      </c>
      <c r="I143" s="6">
        <v>5</v>
      </c>
      <c r="J143" s="6">
        <f>H143/1000*I143</f>
        <v>0.09450000000000001</v>
      </c>
      <c r="K143" s="6">
        <f>J143*12</f>
        <v>1.1340000000000001</v>
      </c>
      <c r="L143" s="4">
        <f>E143*(1-G143)</f>
        <v>56.7</v>
      </c>
      <c r="M143" s="4">
        <f>L143*0.0005</f>
        <v>0.028350000000000004</v>
      </c>
      <c r="N143" s="4">
        <f>M143*0.5</f>
        <v>0.014175000000000002</v>
      </c>
      <c r="O143" s="6">
        <f>N143*7.30</f>
        <v>0.10347750000000001</v>
      </c>
      <c r="P143" s="6">
        <f>O143*12</f>
        <v>1.2417300000000002</v>
      </c>
      <c r="Q143" s="6">
        <f>J143+O143</f>
        <v>0.19797750000000003</v>
      </c>
      <c r="R143" s="6">
        <f>K143+P143</f>
        <v>2.3757300000000003</v>
      </c>
    </row>
    <row r="144" spans="1:18">
      <c r="A144" s="2" t="s">
        <v>61</v>
      </c>
      <c r="B144" s="3" t="s">
        <v>163</v>
      </c>
      <c r="C144" s="4">
        <v>61</v>
      </c>
      <c r="D144" s="4">
        <v>5</v>
      </c>
      <c r="E144" s="4">
        <f>C144</f>
        <v>61</v>
      </c>
      <c r="F144" s="4">
        <f>E144*3</f>
        <v>183</v>
      </c>
      <c r="G144" s="5">
        <v>0.1</v>
      </c>
      <c r="H144" s="4">
        <f>F144*G144</f>
        <v>18.3</v>
      </c>
      <c r="I144" s="6">
        <v>5</v>
      </c>
      <c r="J144" s="6">
        <f>H144/1000*I144</f>
        <v>0.0915</v>
      </c>
      <c r="K144" s="6">
        <f>J144*12</f>
        <v>1.0979999999999999</v>
      </c>
      <c r="L144" s="4">
        <f>E144*(1-G144)</f>
        <v>54.9</v>
      </c>
      <c r="M144" s="4">
        <f>L144*0.0005</f>
        <v>0.02745</v>
      </c>
      <c r="N144" s="4">
        <f>M144*0.5</f>
        <v>0.013725</v>
      </c>
      <c r="O144" s="6">
        <f>N144*7.30</f>
        <v>0.10019249999999999</v>
      </c>
      <c r="P144" s="6">
        <f>O144*12</f>
        <v>1.2023099999999998</v>
      </c>
      <c r="Q144" s="6">
        <f>J144+O144</f>
        <v>0.1916925</v>
      </c>
      <c r="R144" s="6">
        <f>K144+P144</f>
        <v>2.3003099999999996</v>
      </c>
    </row>
    <row r="145" spans="1:18">
      <c r="A145" s="2" t="s">
        <v>61</v>
      </c>
      <c r="B145" s="3" t="s">
        <v>164</v>
      </c>
      <c r="C145" s="4">
        <v>57</v>
      </c>
      <c r="D145" s="4">
        <v>8</v>
      </c>
      <c r="E145" s="4">
        <f>C145</f>
        <v>57</v>
      </c>
      <c r="F145" s="4">
        <f>E145*3</f>
        <v>171</v>
      </c>
      <c r="G145" s="5">
        <v>0.1</v>
      </c>
      <c r="H145" s="4">
        <f>F145*G145</f>
        <v>17.1</v>
      </c>
      <c r="I145" s="6">
        <v>5</v>
      </c>
      <c r="J145" s="6">
        <f>H145/1000*I145</f>
        <v>0.0855</v>
      </c>
      <c r="K145" s="6">
        <f>J145*12</f>
        <v>1.026</v>
      </c>
      <c r="L145" s="4">
        <f>E145*(1-G145)</f>
        <v>51.300000000000004</v>
      </c>
      <c r="M145" s="4">
        <f>L145*0.0005</f>
        <v>0.025650000000000003</v>
      </c>
      <c r="N145" s="4">
        <f>M145*0.5</f>
        <v>0.012825000000000001</v>
      </c>
      <c r="O145" s="6">
        <f>N145*7.30</f>
        <v>0.09362250000000001</v>
      </c>
      <c r="P145" s="6">
        <f>O145*12</f>
        <v>1.1234700000000002</v>
      </c>
      <c r="Q145" s="6">
        <f>J145+O145</f>
        <v>0.17912250000000002</v>
      </c>
      <c r="R145" s="6">
        <f>K145+P145</f>
        <v>2.14947</v>
      </c>
    </row>
    <row r="146" spans="1:18">
      <c r="A146" s="2" t="s">
        <v>61</v>
      </c>
      <c r="B146" s="3" t="s">
        <v>165</v>
      </c>
      <c r="C146" s="4">
        <v>51</v>
      </c>
      <c r="D146" s="4">
        <v>6</v>
      </c>
      <c r="E146" s="4">
        <f>C146</f>
        <v>51</v>
      </c>
      <c r="F146" s="4">
        <f>E146*3</f>
        <v>153</v>
      </c>
      <c r="G146" s="5">
        <v>0.1</v>
      </c>
      <c r="H146" s="4">
        <f>F146*G146</f>
        <v>15.3</v>
      </c>
      <c r="I146" s="6">
        <v>5</v>
      </c>
      <c r="J146" s="6">
        <f>H146/1000*I146</f>
        <v>0.07650000000000001</v>
      </c>
      <c r="K146" s="6">
        <f>J146*12</f>
        <v>0.9180000000000001</v>
      </c>
      <c r="L146" s="4">
        <f>E146*(1-G146)</f>
        <v>45.9</v>
      </c>
      <c r="M146" s="4">
        <f>L146*0.0005</f>
        <v>0.022949999999999998</v>
      </c>
      <c r="N146" s="4">
        <f>M146*0.5</f>
        <v>0.011474999999999999</v>
      </c>
      <c r="O146" s="6">
        <f>N146*7.30</f>
        <v>0.0837675</v>
      </c>
      <c r="P146" s="6">
        <f>O146*12</f>
        <v>1.00521</v>
      </c>
      <c r="Q146" s="6">
        <f>J146+O146</f>
        <v>0.1602675</v>
      </c>
      <c r="R146" s="6">
        <f>K146+P146</f>
        <v>1.92321</v>
      </c>
    </row>
    <row r="147" spans="1:18">
      <c r="A147" s="2" t="s">
        <v>61</v>
      </c>
      <c r="B147" s="3" t="s">
        <v>166</v>
      </c>
      <c r="C147" s="4">
        <v>46</v>
      </c>
      <c r="D147" s="4">
        <v>2</v>
      </c>
      <c r="E147" s="4">
        <f>C147</f>
        <v>46</v>
      </c>
      <c r="F147" s="4">
        <f>E147*3</f>
        <v>138</v>
      </c>
      <c r="G147" s="5">
        <v>0.1</v>
      </c>
      <c r="H147" s="4">
        <f>F147*G147</f>
        <v>13.8</v>
      </c>
      <c r="I147" s="6">
        <v>5</v>
      </c>
      <c r="J147" s="6">
        <f>H147/1000*I147</f>
        <v>0.069</v>
      </c>
      <c r="K147" s="6">
        <f>J147*12</f>
        <v>0.8280000000000001</v>
      </c>
      <c r="L147" s="4">
        <f>E147*(1-G147)</f>
        <v>41.4</v>
      </c>
      <c r="M147" s="4">
        <f>L147*0.0005</f>
        <v>0.0207</v>
      </c>
      <c r="N147" s="4">
        <f>M147*0.5</f>
        <v>0.01035</v>
      </c>
      <c r="O147" s="6">
        <f>N147*7.30</f>
        <v>0.075555</v>
      </c>
      <c r="P147" s="6">
        <f>O147*12</f>
        <v>0.90666</v>
      </c>
      <c r="Q147" s="6">
        <f>J147+O147</f>
        <v>0.144555</v>
      </c>
      <c r="R147" s="6">
        <f>K147+P147</f>
        <v>1.73466</v>
      </c>
    </row>
    <row r="148" spans="1:18">
      <c r="A148" s="2" t="s">
        <v>61</v>
      </c>
      <c r="B148" s="3" t="s">
        <v>167</v>
      </c>
      <c r="C148" s="4">
        <v>42</v>
      </c>
      <c r="D148" s="4">
        <v>2</v>
      </c>
      <c r="E148" s="4">
        <f>C148</f>
        <v>42</v>
      </c>
      <c r="F148" s="4">
        <f>E148*3</f>
        <v>126</v>
      </c>
      <c r="G148" s="5">
        <v>0.1</v>
      </c>
      <c r="H148" s="4">
        <f>F148*G148</f>
        <v>12.600000000000001</v>
      </c>
      <c r="I148" s="6">
        <v>5</v>
      </c>
      <c r="J148" s="6">
        <f>H148/1000*I148</f>
        <v>0.06300000000000001</v>
      </c>
      <c r="K148" s="6">
        <f>J148*12</f>
        <v>0.7560000000000002</v>
      </c>
      <c r="L148" s="4">
        <f>E148*(1-G148)</f>
        <v>37.800000000000004</v>
      </c>
      <c r="M148" s="4">
        <f>L148*0.0005</f>
        <v>0.018900000000000004</v>
      </c>
      <c r="N148" s="4">
        <f>M148*0.5</f>
        <v>0.009450000000000002</v>
      </c>
      <c r="O148" s="6">
        <f>N148*7.30</f>
        <v>0.068985</v>
      </c>
      <c r="P148" s="6">
        <f>O148*12</f>
        <v>0.82782</v>
      </c>
      <c r="Q148" s="6">
        <f>J148+O148</f>
        <v>0.13198500000000002</v>
      </c>
      <c r="R148" s="6">
        <f>K148+P148</f>
        <v>1.5838200000000002</v>
      </c>
    </row>
    <row r="149" spans="1:18">
      <c r="A149" s="2" t="s">
        <v>61</v>
      </c>
      <c r="B149" s="3" t="s">
        <v>168</v>
      </c>
      <c r="C149" s="4">
        <v>38</v>
      </c>
      <c r="D149" s="4">
        <v>4</v>
      </c>
      <c r="E149" s="4">
        <f>C149</f>
        <v>38</v>
      </c>
      <c r="F149" s="4">
        <f>E149*3</f>
        <v>114</v>
      </c>
      <c r="G149" s="5">
        <v>0.1</v>
      </c>
      <c r="H149" s="4">
        <f>F149*G149</f>
        <v>11.4</v>
      </c>
      <c r="I149" s="6">
        <v>5</v>
      </c>
      <c r="J149" s="6">
        <f>H149/1000*I149</f>
        <v>0.057</v>
      </c>
      <c r="K149" s="6">
        <f>J149*12</f>
        <v>0.684</v>
      </c>
      <c r="L149" s="4">
        <f>E149*(1-G149)</f>
        <v>34.2</v>
      </c>
      <c r="M149" s="4">
        <f>L149*0.0005</f>
        <v>0.0171</v>
      </c>
      <c r="N149" s="4">
        <f>M149*0.5</f>
        <v>0.00855</v>
      </c>
      <c r="O149" s="6">
        <f>N149*7.30</f>
        <v>0.062415</v>
      </c>
      <c r="P149" s="6">
        <f>O149*12</f>
        <v>0.74898</v>
      </c>
      <c r="Q149" s="6">
        <f>J149+O149</f>
        <v>0.119415</v>
      </c>
      <c r="R149" s="6">
        <f>K149+P149</f>
        <v>1.4329800000000001</v>
      </c>
    </row>
    <row r="150" spans="1:18">
      <c r="A150" s="2" t="s">
        <v>61</v>
      </c>
      <c r="B150" s="3" t="s">
        <v>169</v>
      </c>
      <c r="C150" s="4">
        <v>35</v>
      </c>
      <c r="D150" s="4">
        <v>3</v>
      </c>
      <c r="E150" s="4">
        <f>C150</f>
        <v>35</v>
      </c>
      <c r="F150" s="4">
        <f>E150*3</f>
        <v>105</v>
      </c>
      <c r="G150" s="5">
        <v>0.1</v>
      </c>
      <c r="H150" s="4">
        <f>F150*G150</f>
        <v>10.5</v>
      </c>
      <c r="I150" s="6">
        <v>5</v>
      </c>
      <c r="J150" s="6">
        <f>H150/1000*I150</f>
        <v>0.052500000000000005</v>
      </c>
      <c r="K150" s="6">
        <f>J150*12</f>
        <v>0.6300000000000001</v>
      </c>
      <c r="L150" s="4">
        <f>E150*(1-G150)</f>
        <v>31.5</v>
      </c>
      <c r="M150" s="4">
        <f>L150*0.0005</f>
        <v>0.01575</v>
      </c>
      <c r="N150" s="4">
        <f>M150*0.5</f>
        <v>0.007875</v>
      </c>
      <c r="O150" s="6">
        <f>N150*7.30</f>
        <v>0.0574875</v>
      </c>
      <c r="P150" s="6">
        <f>O150*12</f>
        <v>0.68985</v>
      </c>
      <c r="Q150" s="6">
        <f>J150+O150</f>
        <v>0.1099875</v>
      </c>
      <c r="R150" s="6">
        <f>K150+P150</f>
        <v>1.3198500000000002</v>
      </c>
    </row>
    <row r="151" spans="1:18">
      <c r="A151" s="2" t="s">
        <v>61</v>
      </c>
      <c r="B151" s="3" t="s">
        <v>170</v>
      </c>
      <c r="C151" s="4">
        <v>34</v>
      </c>
      <c r="D151" s="4">
        <v>6</v>
      </c>
      <c r="E151" s="4">
        <f>C151</f>
        <v>34</v>
      </c>
      <c r="F151" s="4">
        <f>E151*3</f>
        <v>102</v>
      </c>
      <c r="G151" s="5">
        <v>0.1</v>
      </c>
      <c r="H151" s="4">
        <f>F151*G151</f>
        <v>10.200000000000001</v>
      </c>
      <c r="I151" s="6">
        <v>5</v>
      </c>
      <c r="J151" s="6">
        <f>H151/1000*I151</f>
        <v>0.051000000000000004</v>
      </c>
      <c r="K151" s="6">
        <f>J151*12</f>
        <v>0.6120000000000001</v>
      </c>
      <c r="L151" s="4">
        <f>E151*(1-G151)</f>
        <v>30.6</v>
      </c>
      <c r="M151" s="4">
        <f>L151*0.0005</f>
        <v>0.015300000000000001</v>
      </c>
      <c r="N151" s="4">
        <f>M151*0.5</f>
        <v>0.0076500000000000005</v>
      </c>
      <c r="O151" s="6">
        <f>N151*7.30</f>
        <v>0.055845000000000006</v>
      </c>
      <c r="P151" s="6">
        <f>O151*12</f>
        <v>0.6701400000000001</v>
      </c>
      <c r="Q151" s="6">
        <f>J151+O151</f>
        <v>0.10684500000000001</v>
      </c>
      <c r="R151" s="6">
        <f>K151+P151</f>
        <v>1.28214</v>
      </c>
    </row>
    <row r="152" spans="1:18">
      <c r="A152" s="2" t="s">
        <v>61</v>
      </c>
      <c r="B152" s="3" t="s">
        <v>171</v>
      </c>
      <c r="C152" s="4">
        <v>30</v>
      </c>
      <c r="D152" s="4">
        <v>4</v>
      </c>
      <c r="E152" s="4">
        <f>C152</f>
        <v>30</v>
      </c>
      <c r="F152" s="4">
        <f>E152*3</f>
        <v>90</v>
      </c>
      <c r="G152" s="5">
        <v>0.1</v>
      </c>
      <c r="H152" s="4">
        <f>F152*G152</f>
        <v>9.0</v>
      </c>
      <c r="I152" s="6">
        <v>5</v>
      </c>
      <c r="J152" s="6">
        <f>H152/1000*I152</f>
        <v>0.045</v>
      </c>
      <c r="K152" s="6">
        <f>J152*12</f>
        <v>0.54</v>
      </c>
      <c r="L152" s="4">
        <f>E152*(1-G152)</f>
        <v>27.0</v>
      </c>
      <c r="M152" s="4">
        <f>L152*0.0005</f>
        <v>0.0135</v>
      </c>
      <c r="N152" s="4">
        <f>M152*0.5</f>
        <v>0.00675</v>
      </c>
      <c r="O152" s="6">
        <f>N152*7.30</f>
        <v>0.049275</v>
      </c>
      <c r="P152" s="6">
        <f>O152*12</f>
        <v>0.5912999999999999</v>
      </c>
      <c r="Q152" s="6">
        <f>J152+O152</f>
        <v>0.094275</v>
      </c>
      <c r="R152" s="6">
        <f>K152+P152</f>
        <v>1.1313</v>
      </c>
    </row>
    <row r="153" spans="1:18">
      <c r="A153" s="2" t="s">
        <v>61</v>
      </c>
      <c r="B153" s="3" t="s">
        <v>172</v>
      </c>
      <c r="C153" s="4">
        <v>30</v>
      </c>
      <c r="D153" s="4">
        <v>2</v>
      </c>
      <c r="E153" s="4">
        <f>C153</f>
        <v>30</v>
      </c>
      <c r="F153" s="4">
        <f>E153*3</f>
        <v>90</v>
      </c>
      <c r="G153" s="5">
        <v>0.1</v>
      </c>
      <c r="H153" s="4">
        <f>F153*G153</f>
        <v>9.0</v>
      </c>
      <c r="I153" s="6">
        <v>5</v>
      </c>
      <c r="J153" s="6">
        <f>H153/1000*I153</f>
        <v>0.045</v>
      </c>
      <c r="K153" s="6">
        <f>J153*12</f>
        <v>0.54</v>
      </c>
      <c r="L153" s="4">
        <f>E153*(1-G153)</f>
        <v>27.0</v>
      </c>
      <c r="M153" s="4">
        <f>L153*0.0005</f>
        <v>0.0135</v>
      </c>
      <c r="N153" s="4">
        <f>M153*0.5</f>
        <v>0.00675</v>
      </c>
      <c r="O153" s="6">
        <f>N153*7.30</f>
        <v>0.049275</v>
      </c>
      <c r="P153" s="6">
        <f>O153*12</f>
        <v>0.5912999999999999</v>
      </c>
      <c r="Q153" s="6">
        <f>J153+O153</f>
        <v>0.094275</v>
      </c>
      <c r="R153" s="6">
        <f>K153+P153</f>
        <v>1.1313</v>
      </c>
    </row>
    <row r="154" spans="1:18">
      <c r="A154" s="2" t="s">
        <v>61</v>
      </c>
      <c r="B154" s="3" t="s">
        <v>173</v>
      </c>
      <c r="C154" s="4">
        <v>29</v>
      </c>
      <c r="D154" s="4">
        <v>2</v>
      </c>
      <c r="E154" s="4">
        <f>C154</f>
        <v>29</v>
      </c>
      <c r="F154" s="4">
        <f>E154*3</f>
        <v>87</v>
      </c>
      <c r="G154" s="5">
        <v>0.1</v>
      </c>
      <c r="H154" s="4">
        <f>F154*G154</f>
        <v>8.700000000000001</v>
      </c>
      <c r="I154" s="6">
        <v>5</v>
      </c>
      <c r="J154" s="6">
        <f>H154/1000*I154</f>
        <v>0.043500000000000004</v>
      </c>
      <c r="K154" s="6">
        <f>J154*12</f>
        <v>0.522</v>
      </c>
      <c r="L154" s="4">
        <f>E154*(1-G154)</f>
        <v>26.1</v>
      </c>
      <c r="M154" s="4">
        <f>L154*0.0005</f>
        <v>0.01305</v>
      </c>
      <c r="N154" s="4">
        <f>M154*0.5</f>
        <v>0.006525</v>
      </c>
      <c r="O154" s="6">
        <f>N154*7.30</f>
        <v>0.0476325</v>
      </c>
      <c r="P154" s="6">
        <f>O154*12</f>
        <v>0.57159</v>
      </c>
      <c r="Q154" s="6">
        <f>J154+O154</f>
        <v>0.0911325</v>
      </c>
      <c r="R154" s="6">
        <f>K154+P154</f>
        <v>1.09359</v>
      </c>
    </row>
    <row r="155" spans="1:18">
      <c r="A155" s="2" t="s">
        <v>61</v>
      </c>
      <c r="B155" s="3" t="s">
        <v>174</v>
      </c>
      <c r="C155" s="4">
        <v>24</v>
      </c>
      <c r="D155" s="4">
        <v>3</v>
      </c>
      <c r="E155" s="4">
        <f>C155</f>
        <v>24</v>
      </c>
      <c r="F155" s="4">
        <f>E155*3</f>
        <v>72</v>
      </c>
      <c r="G155" s="5">
        <v>0.1</v>
      </c>
      <c r="H155" s="4">
        <f>F155*G155</f>
        <v>7.2</v>
      </c>
      <c r="I155" s="6">
        <v>5</v>
      </c>
      <c r="J155" s="6">
        <f>H155/1000*I155</f>
        <v>0.036</v>
      </c>
      <c r="K155" s="6">
        <f>J155*12</f>
        <v>0.43199999999999994</v>
      </c>
      <c r="L155" s="4">
        <f>E155*(1-G155)</f>
        <v>21.6</v>
      </c>
      <c r="M155" s="4">
        <f>L155*0.0005</f>
        <v>0.0108</v>
      </c>
      <c r="N155" s="4">
        <f>M155*0.5</f>
        <v>0.0054</v>
      </c>
      <c r="O155" s="6">
        <f>N155*7.30</f>
        <v>0.039420000000000004</v>
      </c>
      <c r="P155" s="6">
        <f>O155*12</f>
        <v>0.47304</v>
      </c>
      <c r="Q155" s="6">
        <f>J155+O155</f>
        <v>0.07542</v>
      </c>
      <c r="R155" s="6">
        <f>K155+P155</f>
        <v>0.90504</v>
      </c>
    </row>
    <row r="156" spans="1:18">
      <c r="A156" s="2" t="s">
        <v>61</v>
      </c>
      <c r="B156" s="3" t="s">
        <v>175</v>
      </c>
      <c r="C156" s="4">
        <v>18</v>
      </c>
      <c r="D156" s="4">
        <v>2</v>
      </c>
      <c r="E156" s="4">
        <f>C156</f>
        <v>18</v>
      </c>
      <c r="F156" s="4">
        <f>E156*3</f>
        <v>54</v>
      </c>
      <c r="G156" s="5">
        <v>0.1</v>
      </c>
      <c r="H156" s="4">
        <f>F156*G156</f>
        <v>5.4</v>
      </c>
      <c r="I156" s="6">
        <v>5</v>
      </c>
      <c r="J156" s="6">
        <f>H156/1000*I156</f>
        <v>0.027000000000000003</v>
      </c>
      <c r="K156" s="6">
        <f>J156*12</f>
        <v>0.32400000000000007</v>
      </c>
      <c r="L156" s="4">
        <f>E156*(1-G156)</f>
        <v>16.2</v>
      </c>
      <c r="M156" s="4">
        <f>L156*0.0005</f>
        <v>0.0081</v>
      </c>
      <c r="N156" s="4">
        <f>M156*0.5</f>
        <v>0.00405</v>
      </c>
      <c r="O156" s="6">
        <f>N156*7.30</f>
        <v>0.029564999999999998</v>
      </c>
      <c r="P156" s="6">
        <f>O156*12</f>
        <v>0.35478</v>
      </c>
      <c r="Q156" s="6">
        <f>J156+O156</f>
        <v>0.056565000000000004</v>
      </c>
      <c r="R156" s="6">
        <f>K156+P156</f>
        <v>0.67878</v>
      </c>
    </row>
    <row r="157" spans="1:18">
      <c r="A157" s="2" t="s">
        <v>61</v>
      </c>
      <c r="B157" s="3" t="s">
        <v>176</v>
      </c>
      <c r="C157" s="4">
        <v>18</v>
      </c>
      <c r="D157" s="4">
        <v>1</v>
      </c>
      <c r="E157" s="4">
        <f>C157</f>
        <v>18</v>
      </c>
      <c r="F157" s="4">
        <f>E157*3</f>
        <v>54</v>
      </c>
      <c r="G157" s="5">
        <v>0.1</v>
      </c>
      <c r="H157" s="4">
        <f>F157*G157</f>
        <v>5.4</v>
      </c>
      <c r="I157" s="6">
        <v>5</v>
      </c>
      <c r="J157" s="6">
        <f>H157/1000*I157</f>
        <v>0.027000000000000003</v>
      </c>
      <c r="K157" s="6">
        <f>J157*12</f>
        <v>0.32400000000000007</v>
      </c>
      <c r="L157" s="4">
        <f>E157*(1-G157)</f>
        <v>16.2</v>
      </c>
      <c r="M157" s="4">
        <f>L157*0.0005</f>
        <v>0.0081</v>
      </c>
      <c r="N157" s="4">
        <f>M157*0.5</f>
        <v>0.00405</v>
      </c>
      <c r="O157" s="6">
        <f>N157*7.30</f>
        <v>0.029564999999999998</v>
      </c>
      <c r="P157" s="6">
        <f>O157*12</f>
        <v>0.35478</v>
      </c>
      <c r="Q157" s="6">
        <f>J157+O157</f>
        <v>0.056565000000000004</v>
      </c>
      <c r="R157" s="6">
        <f>K157+P157</f>
        <v>0.67878</v>
      </c>
    </row>
    <row r="158" spans="1:18">
      <c r="A158" s="2" t="s">
        <v>61</v>
      </c>
      <c r="B158" s="3" t="s">
        <v>177</v>
      </c>
      <c r="C158" s="4">
        <v>16</v>
      </c>
      <c r="D158" s="4">
        <v>7</v>
      </c>
      <c r="E158" s="4">
        <f>C158</f>
        <v>16</v>
      </c>
      <c r="F158" s="4">
        <f>E158*3</f>
        <v>48</v>
      </c>
      <c r="G158" s="5">
        <v>0.1</v>
      </c>
      <c r="H158" s="4">
        <f>F158*G158</f>
        <v>4.800000000000001</v>
      </c>
      <c r="I158" s="6">
        <v>5</v>
      </c>
      <c r="J158" s="6">
        <f>H158/1000*I158</f>
        <v>0.024</v>
      </c>
      <c r="K158" s="6">
        <f>J158*12</f>
        <v>0.28800000000000003</v>
      </c>
      <c r="L158" s="4">
        <f>E158*(1-G158)</f>
        <v>14.4</v>
      </c>
      <c r="M158" s="4">
        <f>L158*0.0005</f>
        <v>0.007200000000000001</v>
      </c>
      <c r="N158" s="4">
        <f>M158*0.5</f>
        <v>0.0036000000000000003</v>
      </c>
      <c r="O158" s="6">
        <f>N158*7.30</f>
        <v>0.02628</v>
      </c>
      <c r="P158" s="6">
        <f>O158*12</f>
        <v>0.31536000000000003</v>
      </c>
      <c r="Q158" s="6">
        <f>J158+O158</f>
        <v>0.050280000000000005</v>
      </c>
      <c r="R158" s="6">
        <f>K158+P158</f>
        <v>0.6033600000000001</v>
      </c>
    </row>
    <row r="159" spans="1:18">
      <c r="A159" s="2" t="s">
        <v>61</v>
      </c>
      <c r="B159" s="3" t="s">
        <v>178</v>
      </c>
      <c r="C159" s="4">
        <v>15</v>
      </c>
      <c r="D159" s="4">
        <v>3</v>
      </c>
      <c r="E159" s="4">
        <f>C159</f>
        <v>15</v>
      </c>
      <c r="F159" s="4">
        <f>E159*3</f>
        <v>45</v>
      </c>
      <c r="G159" s="5">
        <v>0.1</v>
      </c>
      <c r="H159" s="4">
        <f>F159*G159</f>
        <v>4.5</v>
      </c>
      <c r="I159" s="6">
        <v>5</v>
      </c>
      <c r="J159" s="6">
        <f>H159/1000*I159</f>
        <v>0.0225</v>
      </c>
      <c r="K159" s="6">
        <f>J159*12</f>
        <v>0.27</v>
      </c>
      <c r="L159" s="4">
        <f>E159*(1-G159)</f>
        <v>13.5</v>
      </c>
      <c r="M159" s="4">
        <f>L159*0.0005</f>
        <v>0.00675</v>
      </c>
      <c r="N159" s="4">
        <f>M159*0.5</f>
        <v>0.003375</v>
      </c>
      <c r="O159" s="6">
        <f>N159*7.30</f>
        <v>0.0246375</v>
      </c>
      <c r="P159" s="6">
        <f>O159*12</f>
        <v>0.29564999999999997</v>
      </c>
      <c r="Q159" s="6">
        <f>J159+O159</f>
        <v>0.0471375</v>
      </c>
      <c r="R159" s="6">
        <f>K159+P159</f>
        <v>0.56565</v>
      </c>
    </row>
    <row r="160" spans="1:18">
      <c r="A160" s="2" t="s">
        <v>61</v>
      </c>
      <c r="B160" s="3" t="s">
        <v>179</v>
      </c>
      <c r="C160" s="4">
        <v>15</v>
      </c>
      <c r="D160" s="4">
        <v>2</v>
      </c>
      <c r="E160" s="4">
        <f>C160</f>
        <v>15</v>
      </c>
      <c r="F160" s="4">
        <f>E160*3</f>
        <v>45</v>
      </c>
      <c r="G160" s="5">
        <v>0.1</v>
      </c>
      <c r="H160" s="4">
        <f>F160*G160</f>
        <v>4.5</v>
      </c>
      <c r="I160" s="6">
        <v>5</v>
      </c>
      <c r="J160" s="6">
        <f>H160/1000*I160</f>
        <v>0.0225</v>
      </c>
      <c r="K160" s="6">
        <f>J160*12</f>
        <v>0.27</v>
      </c>
      <c r="L160" s="4">
        <f>E160*(1-G160)</f>
        <v>13.5</v>
      </c>
      <c r="M160" s="4">
        <f>L160*0.0005</f>
        <v>0.00675</v>
      </c>
      <c r="N160" s="4">
        <f>M160*0.5</f>
        <v>0.003375</v>
      </c>
      <c r="O160" s="6">
        <f>N160*7.30</f>
        <v>0.0246375</v>
      </c>
      <c r="P160" s="6">
        <f>O160*12</f>
        <v>0.29564999999999997</v>
      </c>
      <c r="Q160" s="6">
        <f>J160+O160</f>
        <v>0.0471375</v>
      </c>
      <c r="R160" s="6">
        <f>K160+P160</f>
        <v>0.56565</v>
      </c>
    </row>
    <row r="161" spans="1:18">
      <c r="A161" s="2" t="s">
        <v>61</v>
      </c>
      <c r="B161" s="3" t="s">
        <v>180</v>
      </c>
      <c r="C161" s="4">
        <v>15</v>
      </c>
      <c r="D161" s="4">
        <v>1</v>
      </c>
      <c r="E161" s="4">
        <f>C161</f>
        <v>15</v>
      </c>
      <c r="F161" s="4">
        <f>E161*3</f>
        <v>45</v>
      </c>
      <c r="G161" s="5">
        <v>0.1</v>
      </c>
      <c r="H161" s="4">
        <f>F161*G161</f>
        <v>4.5</v>
      </c>
      <c r="I161" s="6">
        <v>5</v>
      </c>
      <c r="J161" s="6">
        <f>H161/1000*I161</f>
        <v>0.0225</v>
      </c>
      <c r="K161" s="6">
        <f>J161*12</f>
        <v>0.27</v>
      </c>
      <c r="L161" s="4">
        <f>E161*(1-G161)</f>
        <v>13.5</v>
      </c>
      <c r="M161" s="4">
        <f>L161*0.0005</f>
        <v>0.00675</v>
      </c>
      <c r="N161" s="4">
        <f>M161*0.5</f>
        <v>0.003375</v>
      </c>
      <c r="O161" s="6">
        <f>N161*7.30</f>
        <v>0.0246375</v>
      </c>
      <c r="P161" s="6">
        <f>O161*12</f>
        <v>0.29564999999999997</v>
      </c>
      <c r="Q161" s="6">
        <f>J161+O161</f>
        <v>0.0471375</v>
      </c>
      <c r="R161" s="6">
        <f>K161+P161</f>
        <v>0.56565</v>
      </c>
    </row>
    <row r="162" spans="1:18">
      <c r="A162" s="2" t="s">
        <v>61</v>
      </c>
      <c r="B162" s="3" t="s">
        <v>181</v>
      </c>
      <c r="C162" s="4">
        <v>14</v>
      </c>
      <c r="D162" s="4">
        <v>5</v>
      </c>
      <c r="E162" s="4">
        <f>C162</f>
        <v>14</v>
      </c>
      <c r="F162" s="4">
        <f>E162*3</f>
        <v>42</v>
      </c>
      <c r="G162" s="5">
        <v>0.1</v>
      </c>
      <c r="H162" s="4">
        <f>F162*G162</f>
        <v>4.2</v>
      </c>
      <c r="I162" s="6">
        <v>5</v>
      </c>
      <c r="J162" s="6">
        <f>H162/1000*I162</f>
        <v>0.021000000000000005</v>
      </c>
      <c r="K162" s="6">
        <f>J162*12</f>
        <v>0.25200000000000006</v>
      </c>
      <c r="L162" s="4">
        <f>E162*(1-G162)</f>
        <v>12.6</v>
      </c>
      <c r="M162" s="4">
        <f>L162*0.0005</f>
        <v>0.0063</v>
      </c>
      <c r="N162" s="4">
        <f>M162*0.5</f>
        <v>0.00315</v>
      </c>
      <c r="O162" s="6">
        <f>N162*7.30</f>
        <v>0.022994999999999998</v>
      </c>
      <c r="P162" s="6">
        <f>O162*12</f>
        <v>0.27593999999999996</v>
      </c>
      <c r="Q162" s="6">
        <f>J162+O162</f>
        <v>0.043995000000000006</v>
      </c>
      <c r="R162" s="6">
        <f>K162+P162</f>
        <v>0.5279400000000001</v>
      </c>
    </row>
    <row r="163" spans="1:18">
      <c r="A163" s="2" t="s">
        <v>61</v>
      </c>
      <c r="B163" s="3" t="s">
        <v>182</v>
      </c>
      <c r="C163" s="4">
        <v>14</v>
      </c>
      <c r="D163" s="4">
        <v>2</v>
      </c>
      <c r="E163" s="4">
        <f>C163</f>
        <v>14</v>
      </c>
      <c r="F163" s="4">
        <f>E163*3</f>
        <v>42</v>
      </c>
      <c r="G163" s="5">
        <v>0.1</v>
      </c>
      <c r="H163" s="4">
        <f>F163*G163</f>
        <v>4.2</v>
      </c>
      <c r="I163" s="6">
        <v>5</v>
      </c>
      <c r="J163" s="6">
        <f>H163/1000*I163</f>
        <v>0.021000000000000005</v>
      </c>
      <c r="K163" s="6">
        <f>J163*12</f>
        <v>0.25200000000000006</v>
      </c>
      <c r="L163" s="4">
        <f>E163*(1-G163)</f>
        <v>12.6</v>
      </c>
      <c r="M163" s="4">
        <f>L163*0.0005</f>
        <v>0.0063</v>
      </c>
      <c r="N163" s="4">
        <f>M163*0.5</f>
        <v>0.00315</v>
      </c>
      <c r="O163" s="6">
        <f>N163*7.30</f>
        <v>0.022994999999999998</v>
      </c>
      <c r="P163" s="6">
        <f>O163*12</f>
        <v>0.27593999999999996</v>
      </c>
      <c r="Q163" s="6">
        <f>J163+O163</f>
        <v>0.043995000000000006</v>
      </c>
      <c r="R163" s="6">
        <f>K163+P163</f>
        <v>0.5279400000000001</v>
      </c>
    </row>
    <row r="164" spans="1:18">
      <c r="A164" s="2" t="s">
        <v>61</v>
      </c>
      <c r="B164" s="3" t="s">
        <v>183</v>
      </c>
      <c r="C164" s="4">
        <v>13</v>
      </c>
      <c r="D164" s="4">
        <v>3</v>
      </c>
      <c r="E164" s="4">
        <f>C164</f>
        <v>13</v>
      </c>
      <c r="F164" s="4">
        <f>E164*3</f>
        <v>39</v>
      </c>
      <c r="G164" s="5">
        <v>0.1</v>
      </c>
      <c r="H164" s="4">
        <f>F164*G164</f>
        <v>3.9000000000000004</v>
      </c>
      <c r="I164" s="6">
        <v>5</v>
      </c>
      <c r="J164" s="6">
        <f>H164/1000*I164</f>
        <v>0.0195</v>
      </c>
      <c r="K164" s="6">
        <f>J164*12</f>
        <v>0.23399999999999999</v>
      </c>
      <c r="L164" s="4">
        <f>E164*(1-G164)</f>
        <v>11.700000000000001</v>
      </c>
      <c r="M164" s="4">
        <f>L164*0.0005</f>
        <v>0.005850000000000001</v>
      </c>
      <c r="N164" s="4">
        <f>M164*0.5</f>
        <v>0.0029250000000000005</v>
      </c>
      <c r="O164" s="6">
        <f>N164*7.30</f>
        <v>0.021352500000000003</v>
      </c>
      <c r="P164" s="6">
        <f>O164*12</f>
        <v>0.25623000000000007</v>
      </c>
      <c r="Q164" s="6">
        <f>J164+O164</f>
        <v>0.0408525</v>
      </c>
      <c r="R164" s="6">
        <f>K164+P164</f>
        <v>0.49023000000000005</v>
      </c>
    </row>
    <row r="165" spans="1:18">
      <c r="A165" s="2" t="s">
        <v>61</v>
      </c>
      <c r="B165" s="3" t="s">
        <v>184</v>
      </c>
      <c r="C165" s="4">
        <v>12</v>
      </c>
      <c r="D165" s="4">
        <v>7</v>
      </c>
      <c r="E165" s="4">
        <f>C165</f>
        <v>12</v>
      </c>
      <c r="F165" s="4">
        <f>E165*3</f>
        <v>36</v>
      </c>
      <c r="G165" s="5">
        <v>0.1</v>
      </c>
      <c r="H165" s="4">
        <f>F165*G165</f>
        <v>3.6</v>
      </c>
      <c r="I165" s="6">
        <v>5</v>
      </c>
      <c r="J165" s="6">
        <f>H165/1000*I165</f>
        <v>0.018</v>
      </c>
      <c r="K165" s="6">
        <f>J165*12</f>
        <v>0.21599999999999997</v>
      </c>
      <c r="L165" s="4">
        <f>E165*(1-G165)</f>
        <v>10.8</v>
      </c>
      <c r="M165" s="4">
        <f>L165*0.0005</f>
        <v>0.0054</v>
      </c>
      <c r="N165" s="4">
        <f>M165*0.5</f>
        <v>0.0027</v>
      </c>
      <c r="O165" s="6">
        <f>N165*7.30</f>
        <v>0.019710000000000002</v>
      </c>
      <c r="P165" s="6">
        <f>O165*12</f>
        <v>0.23652</v>
      </c>
      <c r="Q165" s="6">
        <f>J165+O165</f>
        <v>0.03771</v>
      </c>
      <c r="R165" s="6">
        <f>K165+P165</f>
        <v>0.45252</v>
      </c>
    </row>
    <row r="166" spans="1:18">
      <c r="A166" s="2" t="s">
        <v>61</v>
      </c>
      <c r="B166" s="3" t="s">
        <v>185</v>
      </c>
      <c r="C166" s="4">
        <v>12</v>
      </c>
      <c r="D166" s="4">
        <v>3</v>
      </c>
      <c r="E166" s="4">
        <f>C166</f>
        <v>12</v>
      </c>
      <c r="F166" s="4">
        <f>E166*3</f>
        <v>36</v>
      </c>
      <c r="G166" s="5">
        <v>0.1</v>
      </c>
      <c r="H166" s="4">
        <f>F166*G166</f>
        <v>3.6</v>
      </c>
      <c r="I166" s="6">
        <v>5</v>
      </c>
      <c r="J166" s="6">
        <f>H166/1000*I166</f>
        <v>0.018</v>
      </c>
      <c r="K166" s="6">
        <f>J166*12</f>
        <v>0.21599999999999997</v>
      </c>
      <c r="L166" s="4">
        <f>E166*(1-G166)</f>
        <v>10.8</v>
      </c>
      <c r="M166" s="4">
        <f>L166*0.0005</f>
        <v>0.0054</v>
      </c>
      <c r="N166" s="4">
        <f>M166*0.5</f>
        <v>0.0027</v>
      </c>
      <c r="O166" s="6">
        <f>N166*7.30</f>
        <v>0.019710000000000002</v>
      </c>
      <c r="P166" s="6">
        <f>O166*12</f>
        <v>0.23652</v>
      </c>
      <c r="Q166" s="6">
        <f>J166+O166</f>
        <v>0.03771</v>
      </c>
      <c r="R166" s="6">
        <f>K166+P166</f>
        <v>0.45252</v>
      </c>
    </row>
    <row r="167" spans="1:18">
      <c r="A167" s="2" t="s">
        <v>61</v>
      </c>
      <c r="B167" s="3" t="s">
        <v>186</v>
      </c>
      <c r="C167" s="4">
        <v>10</v>
      </c>
      <c r="D167" s="4">
        <v>2</v>
      </c>
      <c r="E167" s="4">
        <f>C167</f>
        <v>10</v>
      </c>
      <c r="F167" s="4">
        <f>E167*3</f>
        <v>30</v>
      </c>
      <c r="G167" s="5">
        <v>0.1</v>
      </c>
      <c r="H167" s="4">
        <f>F167*G167</f>
        <v>3.0</v>
      </c>
      <c r="I167" s="6">
        <v>5</v>
      </c>
      <c r="J167" s="6">
        <f>H167/1000*I167</f>
        <v>0.015</v>
      </c>
      <c r="K167" s="6">
        <f>J167*12</f>
        <v>0.18</v>
      </c>
      <c r="L167" s="4">
        <f>E167*(1-G167)</f>
        <v>9.0</v>
      </c>
      <c r="M167" s="4">
        <f>L167*0.0005</f>
        <v>0.0045000000000000005</v>
      </c>
      <c r="N167" s="4">
        <f>M167*0.5</f>
        <v>0.0022500000000000003</v>
      </c>
      <c r="O167" s="6">
        <f>N167*7.30</f>
        <v>0.016425000000000002</v>
      </c>
      <c r="P167" s="6">
        <f>O167*12</f>
        <v>0.19710000000000003</v>
      </c>
      <c r="Q167" s="6">
        <f>J167+O167</f>
        <v>0.031425</v>
      </c>
      <c r="R167" s="6">
        <f>K167+P167</f>
        <v>0.3771</v>
      </c>
    </row>
    <row r="168" spans="1:18">
      <c r="A168" s="2" t="s">
        <v>61</v>
      </c>
      <c r="B168" s="3" t="s">
        <v>187</v>
      </c>
      <c r="C168" s="4">
        <v>10</v>
      </c>
      <c r="D168" s="4">
        <v>1</v>
      </c>
      <c r="E168" s="4">
        <f>C168</f>
        <v>10</v>
      </c>
      <c r="F168" s="4">
        <f>E168*3</f>
        <v>30</v>
      </c>
      <c r="G168" s="5">
        <v>0.1</v>
      </c>
      <c r="H168" s="4">
        <f>F168*G168</f>
        <v>3.0</v>
      </c>
      <c r="I168" s="6">
        <v>5</v>
      </c>
      <c r="J168" s="6">
        <f>H168/1000*I168</f>
        <v>0.015</v>
      </c>
      <c r="K168" s="6">
        <f>J168*12</f>
        <v>0.18</v>
      </c>
      <c r="L168" s="4">
        <f>E168*(1-G168)</f>
        <v>9.0</v>
      </c>
      <c r="M168" s="4">
        <f>L168*0.0005</f>
        <v>0.0045000000000000005</v>
      </c>
      <c r="N168" s="4">
        <f>M168*0.5</f>
        <v>0.0022500000000000003</v>
      </c>
      <c r="O168" s="6">
        <f>N168*7.30</f>
        <v>0.016425000000000002</v>
      </c>
      <c r="P168" s="6">
        <f>O168*12</f>
        <v>0.19710000000000003</v>
      </c>
      <c r="Q168" s="6">
        <f>J168+O168</f>
        <v>0.031425</v>
      </c>
      <c r="R168" s="6">
        <f>K168+P168</f>
        <v>0.3771</v>
      </c>
    </row>
    <row r="169" spans="1:18">
      <c r="A169" s="2" t="s">
        <v>61</v>
      </c>
      <c r="B169" s="3" t="s">
        <v>188</v>
      </c>
      <c r="C169" s="4">
        <v>9</v>
      </c>
      <c r="D169" s="4">
        <v>2</v>
      </c>
      <c r="E169" s="4">
        <f>C169</f>
        <v>9</v>
      </c>
      <c r="F169" s="4">
        <f>E169*3</f>
        <v>27</v>
      </c>
      <c r="G169" s="5">
        <v>0.1</v>
      </c>
      <c r="H169" s="4">
        <f>F169*G169</f>
        <v>2.7</v>
      </c>
      <c r="I169" s="6">
        <v>5</v>
      </c>
      <c r="J169" s="6">
        <f>H169/1000*I169</f>
        <v>0.013500000000000002</v>
      </c>
      <c r="K169" s="6">
        <f>J169*12</f>
        <v>0.16200000000000003</v>
      </c>
      <c r="L169" s="4">
        <f>E169*(1-G169)</f>
        <v>8.1</v>
      </c>
      <c r="M169" s="4">
        <f>L169*0.0005</f>
        <v>0.00405</v>
      </c>
      <c r="N169" s="4">
        <f>M169*0.5</f>
        <v>0.002025</v>
      </c>
      <c r="O169" s="6">
        <f>N169*7.30</f>
        <v>0.014782499999999999</v>
      </c>
      <c r="P169" s="6">
        <f>O169*12</f>
        <v>0.17739</v>
      </c>
      <c r="Q169" s="6">
        <f>J169+O169</f>
        <v>0.028282500000000002</v>
      </c>
      <c r="R169" s="6">
        <f>K169+P169</f>
        <v>0.33939</v>
      </c>
    </row>
    <row r="170" spans="1:18">
      <c r="A170" s="2" t="s">
        <v>61</v>
      </c>
      <c r="B170" s="3" t="s">
        <v>189</v>
      </c>
      <c r="C170" s="4">
        <v>9</v>
      </c>
      <c r="D170" s="4">
        <v>1</v>
      </c>
      <c r="E170" s="4">
        <f>C170</f>
        <v>9</v>
      </c>
      <c r="F170" s="4">
        <f>E170*3</f>
        <v>27</v>
      </c>
      <c r="G170" s="5">
        <v>0.1</v>
      </c>
      <c r="H170" s="4">
        <f>F170*G170</f>
        <v>2.7</v>
      </c>
      <c r="I170" s="6">
        <v>5</v>
      </c>
      <c r="J170" s="6">
        <f>H170/1000*I170</f>
        <v>0.013500000000000002</v>
      </c>
      <c r="K170" s="6">
        <f>J170*12</f>
        <v>0.16200000000000003</v>
      </c>
      <c r="L170" s="4">
        <f>E170*(1-G170)</f>
        <v>8.1</v>
      </c>
      <c r="M170" s="4">
        <f>L170*0.0005</f>
        <v>0.00405</v>
      </c>
      <c r="N170" s="4">
        <f>M170*0.5</f>
        <v>0.002025</v>
      </c>
      <c r="O170" s="6">
        <f>N170*7.30</f>
        <v>0.014782499999999999</v>
      </c>
      <c r="P170" s="6">
        <f>O170*12</f>
        <v>0.17739</v>
      </c>
      <c r="Q170" s="6">
        <f>J170+O170</f>
        <v>0.028282500000000002</v>
      </c>
      <c r="R170" s="6">
        <f>K170+P170</f>
        <v>0.33939</v>
      </c>
    </row>
    <row r="171" spans="1:18">
      <c r="A171" s="2" t="s">
        <v>61</v>
      </c>
      <c r="B171" s="3" t="s">
        <v>190</v>
      </c>
      <c r="C171" s="4">
        <v>6</v>
      </c>
      <c r="D171" s="4">
        <v>1</v>
      </c>
      <c r="E171" s="4">
        <f>C171</f>
        <v>6</v>
      </c>
      <c r="F171" s="4">
        <f>E171*3</f>
        <v>18</v>
      </c>
      <c r="G171" s="5">
        <v>0.1</v>
      </c>
      <c r="H171" s="4">
        <f>F171*G171</f>
        <v>1.8</v>
      </c>
      <c r="I171" s="6">
        <v>5</v>
      </c>
      <c r="J171" s="6">
        <f>H171/1000*I171</f>
        <v>0.009</v>
      </c>
      <c r="K171" s="6">
        <f>J171*12</f>
        <v>0.10799999999999998</v>
      </c>
      <c r="L171" s="4">
        <f>E171*(1-G171)</f>
        <v>5.4</v>
      </c>
      <c r="M171" s="4">
        <f>L171*0.0005</f>
        <v>0.0027</v>
      </c>
      <c r="N171" s="4">
        <f>M171*0.5</f>
        <v>0.00135</v>
      </c>
      <c r="O171" s="6">
        <f>N171*7.30</f>
        <v>0.009855000000000001</v>
      </c>
      <c r="P171" s="6">
        <f>O171*12</f>
        <v>0.11826</v>
      </c>
      <c r="Q171" s="6">
        <f>J171+O171</f>
        <v>0.018855</v>
      </c>
      <c r="R171" s="6">
        <f>K171+P171</f>
        <v>0.22626</v>
      </c>
    </row>
    <row r="172" spans="1:18">
      <c r="A172" s="2" t="s">
        <v>61</v>
      </c>
      <c r="B172" s="3" t="s">
        <v>191</v>
      </c>
      <c r="C172" s="4">
        <v>5</v>
      </c>
      <c r="D172" s="4">
        <v>2</v>
      </c>
      <c r="E172" s="4">
        <f>C172</f>
        <v>5</v>
      </c>
      <c r="F172" s="4">
        <f>E172*3</f>
        <v>15</v>
      </c>
      <c r="G172" s="5">
        <v>0.1</v>
      </c>
      <c r="H172" s="4">
        <f>F172*G172</f>
        <v>1.5</v>
      </c>
      <c r="I172" s="6">
        <v>5</v>
      </c>
      <c r="J172" s="6">
        <f>H172/1000*I172</f>
        <v>0.0075</v>
      </c>
      <c r="K172" s="6">
        <f>J172*12</f>
        <v>0.09</v>
      </c>
      <c r="L172" s="4">
        <f>E172*(1-G172)</f>
        <v>4.5</v>
      </c>
      <c r="M172" s="4">
        <f>L172*0.0005</f>
        <v>0.0022500000000000003</v>
      </c>
      <c r="N172" s="4">
        <f>M172*0.5</f>
        <v>0.0011250000000000001</v>
      </c>
      <c r="O172" s="6">
        <f>N172*7.30</f>
        <v>0.008212500000000001</v>
      </c>
      <c r="P172" s="6">
        <f>O172*12</f>
        <v>0.09855000000000001</v>
      </c>
      <c r="Q172" s="6">
        <f>J172+O172</f>
        <v>0.0157125</v>
      </c>
      <c r="R172" s="6">
        <f>K172+P172</f>
        <v>0.18855</v>
      </c>
    </row>
    <row r="173" spans="1:18">
      <c r="A173" s="2" t="s">
        <v>61</v>
      </c>
      <c r="B173" s="3" t="s">
        <v>192</v>
      </c>
      <c r="C173" s="4">
        <v>5</v>
      </c>
      <c r="D173" s="4">
        <v>1</v>
      </c>
      <c r="E173" s="4">
        <f>C173</f>
        <v>5</v>
      </c>
      <c r="F173" s="4">
        <f>E173*3</f>
        <v>15</v>
      </c>
      <c r="G173" s="5">
        <v>0.1</v>
      </c>
      <c r="H173" s="4">
        <f>F173*G173</f>
        <v>1.5</v>
      </c>
      <c r="I173" s="6">
        <v>5</v>
      </c>
      <c r="J173" s="6">
        <f>H173/1000*I173</f>
        <v>0.0075</v>
      </c>
      <c r="K173" s="6">
        <f>J173*12</f>
        <v>0.09</v>
      </c>
      <c r="L173" s="4">
        <f>E173*(1-G173)</f>
        <v>4.5</v>
      </c>
      <c r="M173" s="4">
        <f>L173*0.0005</f>
        <v>0.0022500000000000003</v>
      </c>
      <c r="N173" s="4">
        <f>M173*0.5</f>
        <v>0.0011250000000000001</v>
      </c>
      <c r="O173" s="6">
        <f>N173*7.30</f>
        <v>0.008212500000000001</v>
      </c>
      <c r="P173" s="6">
        <f>O173*12</f>
        <v>0.09855000000000001</v>
      </c>
      <c r="Q173" s="6">
        <f>J173+O173</f>
        <v>0.0157125</v>
      </c>
      <c r="R173" s="6">
        <f>K173+P173</f>
        <v>0.18855</v>
      </c>
    </row>
    <row r="174" spans="1:18">
      <c r="A174" s="2" t="s">
        <v>61</v>
      </c>
      <c r="B174" s="3" t="s">
        <v>193</v>
      </c>
      <c r="C174" s="4">
        <v>4</v>
      </c>
      <c r="D174" s="4">
        <v>1</v>
      </c>
      <c r="E174" s="4">
        <f>C174</f>
        <v>4</v>
      </c>
      <c r="F174" s="4">
        <f>E174*3</f>
        <v>12</v>
      </c>
      <c r="G174" s="5">
        <v>0.1</v>
      </c>
      <c r="H174" s="4">
        <f>F174*G174</f>
        <v>1.2000000000000002</v>
      </c>
      <c r="I174" s="6">
        <v>5</v>
      </c>
      <c r="J174" s="6">
        <f>H174/1000*I174</f>
        <v>0.006</v>
      </c>
      <c r="K174" s="6">
        <f>J174*12</f>
        <v>0.07200000000000001</v>
      </c>
      <c r="L174" s="4">
        <f>E174*(1-G174)</f>
        <v>3.6</v>
      </c>
      <c r="M174" s="4">
        <f>L174*0.0005</f>
        <v>0.0018000000000000002</v>
      </c>
      <c r="N174" s="4">
        <f>M174*0.5</f>
        <v>0.0009000000000000001</v>
      </c>
      <c r="O174" s="6">
        <f>N174*7.30</f>
        <v>0.00657</v>
      </c>
      <c r="P174" s="6">
        <f>O174*12</f>
        <v>0.07884000000000001</v>
      </c>
      <c r="Q174" s="6">
        <f>J174+O174</f>
        <v>0.012570000000000001</v>
      </c>
      <c r="R174" s="6">
        <f>K174+P174</f>
        <v>0.15084000000000003</v>
      </c>
    </row>
    <row r="175" spans="1:18">
      <c r="A175" s="2" t="s">
        <v>61</v>
      </c>
      <c r="B175" s="3" t="s">
        <v>194</v>
      </c>
      <c r="C175" s="4">
        <v>4</v>
      </c>
      <c r="D175" s="4">
        <v>1</v>
      </c>
      <c r="E175" s="4">
        <f>C175</f>
        <v>4</v>
      </c>
      <c r="F175" s="4">
        <f>E175*3</f>
        <v>12</v>
      </c>
      <c r="G175" s="5">
        <v>0.1</v>
      </c>
      <c r="H175" s="4">
        <f>F175*G175</f>
        <v>1.2000000000000002</v>
      </c>
      <c r="I175" s="6">
        <v>5</v>
      </c>
      <c r="J175" s="6">
        <f>H175/1000*I175</f>
        <v>0.006</v>
      </c>
      <c r="K175" s="6">
        <f>J175*12</f>
        <v>0.07200000000000001</v>
      </c>
      <c r="L175" s="4">
        <f>E175*(1-G175)</f>
        <v>3.6</v>
      </c>
      <c r="M175" s="4">
        <f>L175*0.0005</f>
        <v>0.0018000000000000002</v>
      </c>
      <c r="N175" s="4">
        <f>M175*0.5</f>
        <v>0.0009000000000000001</v>
      </c>
      <c r="O175" s="6">
        <f>N175*7.30</f>
        <v>0.00657</v>
      </c>
      <c r="P175" s="6">
        <f>O175*12</f>
        <v>0.07884000000000001</v>
      </c>
      <c r="Q175" s="6">
        <f>J175+O175</f>
        <v>0.012570000000000001</v>
      </c>
      <c r="R175" s="6">
        <f>K175+P175</f>
        <v>0.15084000000000003</v>
      </c>
    </row>
    <row r="176" spans="1:18">
      <c r="A176" s="2" t="s">
        <v>61</v>
      </c>
      <c r="B176" s="3" t="s">
        <v>195</v>
      </c>
      <c r="C176" s="4">
        <v>4</v>
      </c>
      <c r="D176" s="4">
        <v>1</v>
      </c>
      <c r="E176" s="4">
        <f>C176</f>
        <v>4</v>
      </c>
      <c r="F176" s="4">
        <f>E176*3</f>
        <v>12</v>
      </c>
      <c r="G176" s="5">
        <v>0.1</v>
      </c>
      <c r="H176" s="4">
        <f>F176*G176</f>
        <v>1.2000000000000002</v>
      </c>
      <c r="I176" s="6">
        <v>5</v>
      </c>
      <c r="J176" s="6">
        <f>H176/1000*I176</f>
        <v>0.006</v>
      </c>
      <c r="K176" s="6">
        <f>J176*12</f>
        <v>0.07200000000000001</v>
      </c>
      <c r="L176" s="4">
        <f>E176*(1-G176)</f>
        <v>3.6</v>
      </c>
      <c r="M176" s="4">
        <f>L176*0.0005</f>
        <v>0.0018000000000000002</v>
      </c>
      <c r="N176" s="4">
        <f>M176*0.5</f>
        <v>0.0009000000000000001</v>
      </c>
      <c r="O176" s="6">
        <f>N176*7.30</f>
        <v>0.00657</v>
      </c>
      <c r="P176" s="6">
        <f>O176*12</f>
        <v>0.07884000000000001</v>
      </c>
      <c r="Q176" s="6">
        <f>J176+O176</f>
        <v>0.012570000000000001</v>
      </c>
      <c r="R176" s="6">
        <f>K176+P176</f>
        <v>0.15084000000000003</v>
      </c>
    </row>
    <row r="177" spans="1:18">
      <c r="A177" s="2" t="s">
        <v>61</v>
      </c>
      <c r="B177" s="3" t="s">
        <v>196</v>
      </c>
      <c r="C177" s="4">
        <v>3</v>
      </c>
      <c r="D177" s="4">
        <v>1</v>
      </c>
      <c r="E177" s="4">
        <f>C177</f>
        <v>3</v>
      </c>
      <c r="F177" s="4">
        <f>E177*3</f>
        <v>9</v>
      </c>
      <c r="G177" s="5">
        <v>0.1</v>
      </c>
      <c r="H177" s="4">
        <f>F177*G177</f>
        <v>0.9</v>
      </c>
      <c r="I177" s="6">
        <v>5</v>
      </c>
      <c r="J177" s="6">
        <f>H177/1000*I177</f>
        <v>0.0045</v>
      </c>
      <c r="K177" s="6">
        <f>J177*12</f>
        <v>0.05399999999999999</v>
      </c>
      <c r="L177" s="4">
        <f>E177*(1-G177)</f>
        <v>2.7</v>
      </c>
      <c r="M177" s="4">
        <f>L177*0.0005</f>
        <v>0.00135</v>
      </c>
      <c r="N177" s="4">
        <f>M177*0.5</f>
        <v>0.000675</v>
      </c>
      <c r="O177" s="6">
        <f>N177*7.30</f>
        <v>0.0049275000000000005</v>
      </c>
      <c r="P177" s="6">
        <f>O177*12</f>
        <v>0.05913</v>
      </c>
      <c r="Q177" s="6">
        <f>J177+O177</f>
        <v>0.0094275</v>
      </c>
      <c r="R177" s="6">
        <f>K177+P177</f>
        <v>0.11313</v>
      </c>
    </row>
    <row r="178" spans="1:18">
      <c r="A178" s="2" t="s">
        <v>61</v>
      </c>
      <c r="B178" s="3" t="s">
        <v>197</v>
      </c>
      <c r="C178" s="4">
        <v>3</v>
      </c>
      <c r="D178" s="4">
        <v>2</v>
      </c>
      <c r="E178" s="4">
        <f>C178</f>
        <v>3</v>
      </c>
      <c r="F178" s="4">
        <f>E178*3</f>
        <v>9</v>
      </c>
      <c r="G178" s="5">
        <v>0.1</v>
      </c>
      <c r="H178" s="4">
        <f>F178*G178</f>
        <v>0.9</v>
      </c>
      <c r="I178" s="6">
        <v>5</v>
      </c>
      <c r="J178" s="6">
        <f>H178/1000*I178</f>
        <v>0.0045</v>
      </c>
      <c r="K178" s="6">
        <f>J178*12</f>
        <v>0.05399999999999999</v>
      </c>
      <c r="L178" s="4">
        <f>E178*(1-G178)</f>
        <v>2.7</v>
      </c>
      <c r="M178" s="4">
        <f>L178*0.0005</f>
        <v>0.00135</v>
      </c>
      <c r="N178" s="4">
        <f>M178*0.5</f>
        <v>0.000675</v>
      </c>
      <c r="O178" s="6">
        <f>N178*7.30</f>
        <v>0.0049275000000000005</v>
      </c>
      <c r="P178" s="6">
        <f>O178*12</f>
        <v>0.05913</v>
      </c>
      <c r="Q178" s="6">
        <f>J178+O178</f>
        <v>0.0094275</v>
      </c>
      <c r="R178" s="6">
        <f>K178+P178</f>
        <v>0.11313</v>
      </c>
    </row>
    <row r="179" spans="1:18">
      <c r="A179" s="2" t="s">
        <v>61</v>
      </c>
      <c r="B179" s="3" t="s">
        <v>198</v>
      </c>
      <c r="C179" s="4">
        <v>3</v>
      </c>
      <c r="D179" s="4">
        <v>1</v>
      </c>
      <c r="E179" s="4">
        <f>C179</f>
        <v>3</v>
      </c>
      <c r="F179" s="4">
        <f>E179*3</f>
        <v>9</v>
      </c>
      <c r="G179" s="5">
        <v>0.1</v>
      </c>
      <c r="H179" s="4">
        <f>F179*G179</f>
        <v>0.9</v>
      </c>
      <c r="I179" s="6">
        <v>5</v>
      </c>
      <c r="J179" s="6">
        <f>H179/1000*I179</f>
        <v>0.0045</v>
      </c>
      <c r="K179" s="6">
        <f>J179*12</f>
        <v>0.05399999999999999</v>
      </c>
      <c r="L179" s="4">
        <f>E179*(1-G179)</f>
        <v>2.7</v>
      </c>
      <c r="M179" s="4">
        <f>L179*0.0005</f>
        <v>0.00135</v>
      </c>
      <c r="N179" s="4">
        <f>M179*0.5</f>
        <v>0.000675</v>
      </c>
      <c r="O179" s="6">
        <f>N179*7.30</f>
        <v>0.0049275000000000005</v>
      </c>
      <c r="P179" s="6">
        <f>O179*12</f>
        <v>0.05913</v>
      </c>
      <c r="Q179" s="6">
        <f>J179+O179</f>
        <v>0.0094275</v>
      </c>
      <c r="R179" s="6">
        <f>K179+P179</f>
        <v>0.11313</v>
      </c>
    </row>
    <row r="180" spans="1:18">
      <c r="A180" s="2" t="s">
        <v>61</v>
      </c>
      <c r="B180" s="3" t="s">
        <v>199</v>
      </c>
      <c r="C180" s="4">
        <v>2</v>
      </c>
      <c r="D180" s="4">
        <v>2</v>
      </c>
      <c r="E180" s="4">
        <f>C180</f>
        <v>2</v>
      </c>
      <c r="F180" s="4">
        <f>E180*3</f>
        <v>6</v>
      </c>
      <c r="G180" s="5">
        <v>0.1</v>
      </c>
      <c r="H180" s="4">
        <f>F180*G180</f>
        <v>0.6000000000000001</v>
      </c>
      <c r="I180" s="6">
        <v>5</v>
      </c>
      <c r="J180" s="6">
        <f>H180/1000*I180</f>
        <v>0.003</v>
      </c>
      <c r="K180" s="6">
        <f>J180*12</f>
        <v>0.036000000000000004</v>
      </c>
      <c r="L180" s="4">
        <f>E180*(1-G180)</f>
        <v>1.8</v>
      </c>
      <c r="M180" s="4">
        <f>L180*0.0005</f>
        <v>0.0009000000000000001</v>
      </c>
      <c r="N180" s="4">
        <f>M180*0.5</f>
        <v>0.00045000000000000004</v>
      </c>
      <c r="O180" s="6">
        <f>N180*7.30</f>
        <v>0.003285</v>
      </c>
      <c r="P180" s="6">
        <f>O180*12</f>
        <v>0.039420000000000004</v>
      </c>
      <c r="Q180" s="6">
        <f>J180+O180</f>
        <v>0.006285000000000001</v>
      </c>
      <c r="R180" s="6">
        <f>K180+P180</f>
        <v>0.07542000000000001</v>
      </c>
    </row>
    <row r="181" spans="1:18">
      <c r="A181" s="2" t="s">
        <v>61</v>
      </c>
      <c r="B181" s="3" t="s">
        <v>200</v>
      </c>
      <c r="C181" s="4">
        <v>2</v>
      </c>
      <c r="D181" s="4">
        <v>1</v>
      </c>
      <c r="E181" s="4">
        <f>C181</f>
        <v>2</v>
      </c>
      <c r="F181" s="4">
        <f>E181*3</f>
        <v>6</v>
      </c>
      <c r="G181" s="5">
        <v>0.1</v>
      </c>
      <c r="H181" s="4">
        <f>F181*G181</f>
        <v>0.6000000000000001</v>
      </c>
      <c r="I181" s="6">
        <v>5</v>
      </c>
      <c r="J181" s="6">
        <f>H181/1000*I181</f>
        <v>0.003</v>
      </c>
      <c r="K181" s="6">
        <f>J181*12</f>
        <v>0.036000000000000004</v>
      </c>
      <c r="L181" s="4">
        <f>E181*(1-G181)</f>
        <v>1.8</v>
      </c>
      <c r="M181" s="4">
        <f>L181*0.0005</f>
        <v>0.0009000000000000001</v>
      </c>
      <c r="N181" s="4">
        <f>M181*0.5</f>
        <v>0.00045000000000000004</v>
      </c>
      <c r="O181" s="6">
        <f>N181*7.30</f>
        <v>0.003285</v>
      </c>
      <c r="P181" s="6">
        <f>O181*12</f>
        <v>0.039420000000000004</v>
      </c>
      <c r="Q181" s="6">
        <f>J181+O181</f>
        <v>0.006285000000000001</v>
      </c>
      <c r="R181" s="6">
        <f>K181+P181</f>
        <v>0.07542000000000001</v>
      </c>
    </row>
    <row r="182" spans="1:18">
      <c r="A182" s="2" t="s">
        <v>61</v>
      </c>
      <c r="B182" s="3" t="s">
        <v>201</v>
      </c>
      <c r="C182" s="4">
        <v>2</v>
      </c>
      <c r="D182" s="4">
        <v>1</v>
      </c>
      <c r="E182" s="4">
        <f>C182</f>
        <v>2</v>
      </c>
      <c r="F182" s="4">
        <f>E182*3</f>
        <v>6</v>
      </c>
      <c r="G182" s="5">
        <v>0.1</v>
      </c>
      <c r="H182" s="4">
        <f>F182*G182</f>
        <v>0.6000000000000001</v>
      </c>
      <c r="I182" s="6">
        <v>5</v>
      </c>
      <c r="J182" s="6">
        <f>H182/1000*I182</f>
        <v>0.003</v>
      </c>
      <c r="K182" s="6">
        <f>J182*12</f>
        <v>0.036000000000000004</v>
      </c>
      <c r="L182" s="4">
        <f>E182*(1-G182)</f>
        <v>1.8</v>
      </c>
      <c r="M182" s="4">
        <f>L182*0.0005</f>
        <v>0.0009000000000000001</v>
      </c>
      <c r="N182" s="4">
        <f>M182*0.5</f>
        <v>0.00045000000000000004</v>
      </c>
      <c r="O182" s="6">
        <f>N182*7.30</f>
        <v>0.003285</v>
      </c>
      <c r="P182" s="6">
        <f>O182*12</f>
        <v>0.039420000000000004</v>
      </c>
      <c r="Q182" s="6">
        <f>J182+O182</f>
        <v>0.006285000000000001</v>
      </c>
      <c r="R182" s="6">
        <f>K182+P182</f>
        <v>0.07542000000000001</v>
      </c>
    </row>
    <row r="183" spans="1:18">
      <c r="A183" s="2" t="s">
        <v>61</v>
      </c>
      <c r="B183" s="3" t="s">
        <v>202</v>
      </c>
      <c r="C183" s="4">
        <v>2</v>
      </c>
      <c r="D183" s="4">
        <v>1</v>
      </c>
      <c r="E183" s="4">
        <f>C183</f>
        <v>2</v>
      </c>
      <c r="F183" s="4">
        <f>E183*3</f>
        <v>6</v>
      </c>
      <c r="G183" s="5">
        <v>0.1</v>
      </c>
      <c r="H183" s="4">
        <f>F183*G183</f>
        <v>0.6000000000000001</v>
      </c>
      <c r="I183" s="6">
        <v>5</v>
      </c>
      <c r="J183" s="6">
        <f>H183/1000*I183</f>
        <v>0.003</v>
      </c>
      <c r="K183" s="6">
        <f>J183*12</f>
        <v>0.036000000000000004</v>
      </c>
      <c r="L183" s="4">
        <f>E183*(1-G183)</f>
        <v>1.8</v>
      </c>
      <c r="M183" s="4">
        <f>L183*0.0005</f>
        <v>0.0009000000000000001</v>
      </c>
      <c r="N183" s="4">
        <f>M183*0.5</f>
        <v>0.00045000000000000004</v>
      </c>
      <c r="O183" s="6">
        <f>N183*7.30</f>
        <v>0.003285</v>
      </c>
      <c r="P183" s="6">
        <f>O183*12</f>
        <v>0.039420000000000004</v>
      </c>
      <c r="Q183" s="6">
        <f>J183+O183</f>
        <v>0.006285000000000001</v>
      </c>
      <c r="R183" s="6">
        <f>K183+P183</f>
        <v>0.07542000000000001</v>
      </c>
    </row>
    <row r="184" spans="1:18">
      <c r="A184" s="2" t="s">
        <v>61</v>
      </c>
      <c r="B184" s="3" t="s">
        <v>203</v>
      </c>
      <c r="C184" s="4">
        <v>1</v>
      </c>
      <c r="D184" s="4">
        <v>5</v>
      </c>
      <c r="E184" s="4">
        <f>C184</f>
        <v>1</v>
      </c>
      <c r="F184" s="4">
        <f>E184*3</f>
        <v>3</v>
      </c>
      <c r="G184" s="5">
        <v>0.1</v>
      </c>
      <c r="H184" s="4">
        <f>F184*G184</f>
        <v>0.30000000000000004</v>
      </c>
      <c r="I184" s="6">
        <v>5</v>
      </c>
      <c r="J184" s="6">
        <f>H184/1000*I184</f>
        <v>0.0015</v>
      </c>
      <c r="K184" s="6">
        <f>J184*12</f>
        <v>0.018000000000000002</v>
      </c>
      <c r="L184" s="4">
        <f>E184*(1-G184)</f>
        <v>0.9</v>
      </c>
      <c r="M184" s="4">
        <f>L184*0.0005</f>
        <v>0.00045000000000000004</v>
      </c>
      <c r="N184" s="4">
        <f>M184*0.5</f>
        <v>0.00022500000000000002</v>
      </c>
      <c r="O184" s="6">
        <f>N184*7.30</f>
        <v>0.0016425</v>
      </c>
      <c r="P184" s="6">
        <f>O184*12</f>
        <v>0.019710000000000002</v>
      </c>
      <c r="Q184" s="6">
        <f>J184+O184</f>
        <v>0.0031425000000000003</v>
      </c>
      <c r="R184" s="6">
        <f>K184+P184</f>
        <v>0.03771000000000001</v>
      </c>
    </row>
    <row r="185" spans="1:18">
      <c r="A185" s="2" t="s">
        <v>61</v>
      </c>
      <c r="B185" s="3" t="s">
        <v>204</v>
      </c>
      <c r="C185" s="4">
        <v>1</v>
      </c>
      <c r="D185" s="4">
        <v>1</v>
      </c>
      <c r="E185" s="4">
        <f>C185</f>
        <v>1</v>
      </c>
      <c r="F185" s="4">
        <f>E185*3</f>
        <v>3</v>
      </c>
      <c r="G185" s="5">
        <v>0.1</v>
      </c>
      <c r="H185" s="4">
        <f>F185*G185</f>
        <v>0.30000000000000004</v>
      </c>
      <c r="I185" s="6">
        <v>5</v>
      </c>
      <c r="J185" s="6">
        <f>H185/1000*I185</f>
        <v>0.0015</v>
      </c>
      <c r="K185" s="6">
        <f>J185*12</f>
        <v>0.018000000000000002</v>
      </c>
      <c r="L185" s="4">
        <f>E185*(1-G185)</f>
        <v>0.9</v>
      </c>
      <c r="M185" s="4">
        <f>L185*0.0005</f>
        <v>0.00045000000000000004</v>
      </c>
      <c r="N185" s="4">
        <f>M185*0.5</f>
        <v>0.00022500000000000002</v>
      </c>
      <c r="O185" s="6">
        <f>N185*7.30</f>
        <v>0.0016425</v>
      </c>
      <c r="P185" s="6">
        <f>O185*12</f>
        <v>0.019710000000000002</v>
      </c>
      <c r="Q185" s="6">
        <f>J185+O185</f>
        <v>0.0031425000000000003</v>
      </c>
      <c r="R185" s="6">
        <f>K185+P185</f>
        <v>0.03771000000000001</v>
      </c>
    </row>
    <row r="186" spans="1:18">
      <c r="A186" s="2" t="s">
        <v>205</v>
      </c>
      <c r="B186" s="3" t="s">
        <v>206</v>
      </c>
      <c r="C186" s="4">
        <v>12288673</v>
      </c>
      <c r="D186" s="4">
        <v>433139</v>
      </c>
      <c r="E186" s="4">
        <f>C186</f>
        <v>12288673</v>
      </c>
      <c r="F186" s="4">
        <f>E186*3</f>
        <v>36866019</v>
      </c>
      <c r="G186" s="5">
        <v>0.1</v>
      </c>
      <c r="H186" s="4">
        <f>F186*G186</f>
        <v>3686601.9000000004</v>
      </c>
      <c r="I186" s="6">
        <v>2</v>
      </c>
      <c r="J186" s="6">
        <f>H186/1000*I186</f>
        <v>7373.203800000001</v>
      </c>
      <c r="K186" s="6">
        <f>J186*12</f>
        <v>88478.4456</v>
      </c>
      <c r="L186" s="4">
        <f>E186*(1-G186)</f>
        <v>11059805.700000001</v>
      </c>
      <c r="M186" s="4">
        <f>L186*0.0005</f>
        <v>5529.90285</v>
      </c>
      <c r="N186" s="4">
        <f>M186*0.5</f>
        <v>2764.951425</v>
      </c>
      <c r="O186" s="6">
        <f>N186*7.30</f>
        <v>20184.145402500002</v>
      </c>
      <c r="P186" s="6">
        <f>O186*12</f>
        <v>242209.74483000004</v>
      </c>
      <c r="Q186" s="6">
        <f>J186+O186</f>
        <v>27557.3492025</v>
      </c>
      <c r="R186" s="6">
        <f>K186+P186</f>
        <v>330688.1904300001</v>
      </c>
    </row>
    <row r="187" spans="1:18">
      <c r="A187" s="3"/>
    </row>
    <row r="188" spans="1:18">
      <c r="A188" s="7" t="s">
        <v>207</v>
      </c>
    </row>
    <row r="189" spans="1:18">
      <c r="A189" s="8" t="s">
        <v>18</v>
      </c>
      <c r="B189" s="8" t="s">
        <v>208</v>
      </c>
      <c r="C189" s="9">
        <f>SUMIF($A$2:$A$186,"Tier 1",C$2:C$186)</f>
        <v>2903605</v>
      </c>
      <c r="D189" s="9">
        <f>SUMIF($A$2:$A$186,"Tier 1",D$2:D$186)</f>
        <v>154249</v>
      </c>
      <c r="E189" s="9">
        <f>SUMIF($A$2:$A$186,"Tier 1",E$2:E$186)</f>
        <v>2903605</v>
      </c>
      <c r="F189" s="9">
        <f>SUMIF($A$2:$A$186,"Tier 1",F$2:F$186)</f>
        <v>8710815</v>
      </c>
      <c r="G189" s="8"/>
      <c r="H189" s="9">
        <f>SUMIF($A$2:$A$186,"Tier 1",H$2:H$186)</f>
        <v>1742163.0</v>
      </c>
      <c r="I189" s="8"/>
      <c r="J189" s="10">
        <f>SUMIF($A$2:$A$186,"Tier 1",J$2:J$186)</f>
        <v>26132.445</v>
      </c>
      <c r="K189" s="10">
        <f>J189*12</f>
        <v>313589.33999999997</v>
      </c>
      <c r="L189" s="9">
        <f>SUMIF($A$2:$A$186,"Tier 1",L$2:L$186)</f>
        <v>2322884.0</v>
      </c>
      <c r="M189" s="9">
        <f>SUMIF($A$2:$A$186,"Tier 1",M$2:M$186)</f>
        <v>1161.442</v>
      </c>
      <c r="N189" s="9">
        <f>SUMIF($A$2:$A$186,"Tier 1",N$2:N$186)</f>
        <v>580.721</v>
      </c>
      <c r="O189" s="10">
        <f>SUMIF($A$2:$A$186,"Tier 1",O$2:O$186)</f>
        <v>4239.2633</v>
      </c>
      <c r="P189" s="10">
        <f>O189*12</f>
        <v>50871.1596</v>
      </c>
      <c r="Q189" s="10">
        <f>J189+O189</f>
        <v>30371.7083</v>
      </c>
      <c r="R189" s="10">
        <f>K189+P189</f>
        <v>364460.4996</v>
      </c>
    </row>
    <row r="190" spans="1:18">
      <c r="A190" s="8" t="s">
        <v>27</v>
      </c>
      <c r="B190" s="8" t="s">
        <v>209</v>
      </c>
      <c r="C190" s="9">
        <f>SUMIF($A$2:$A$186,"Tier 2",C$2:C$186)</f>
        <v>9487565</v>
      </c>
      <c r="D190" s="9">
        <f>SUMIF($A$2:$A$186,"Tier 2",D$2:D$186)</f>
        <v>421243</v>
      </c>
      <c r="E190" s="9">
        <f>SUMIF($A$2:$A$186,"Tier 2",E$2:E$186)</f>
        <v>9487565</v>
      </c>
      <c r="F190" s="9">
        <f>SUMIF($A$2:$A$186,"Tier 2",F$2:F$186)</f>
        <v>28462695</v>
      </c>
      <c r="G190" s="8"/>
      <c r="H190" s="9">
        <f>SUMIF($A$2:$A$186,"Tier 2",H$2:H$186)</f>
        <v>5692539.0</v>
      </c>
      <c r="I190" s="8"/>
      <c r="J190" s="10">
        <f>SUMIF($A$2:$A$186,"Tier 2",J$2:J$186)</f>
        <v>56925.39</v>
      </c>
      <c r="K190" s="10">
        <f>J190*12</f>
        <v>683104.6799999999</v>
      </c>
      <c r="L190" s="9">
        <f>SUMIF($A$2:$A$186,"Tier 2",L$2:L$186)</f>
        <v>7590052.0</v>
      </c>
      <c r="M190" s="9">
        <f>SUMIF($A$2:$A$186,"Tier 2",M$2:M$186)</f>
        <v>3795.0260000000003</v>
      </c>
      <c r="N190" s="9">
        <f>SUMIF($A$2:$A$186,"Tier 2",N$2:N$186)</f>
        <v>1897.5130000000001</v>
      </c>
      <c r="O190" s="10">
        <f>SUMIF($A$2:$A$186,"Tier 2",O$2:O$186)</f>
        <v>13851.8449</v>
      </c>
      <c r="P190" s="10">
        <f>O190*12</f>
        <v>166222.13880000002</v>
      </c>
      <c r="Q190" s="10">
        <f>J190+O190</f>
        <v>70777.2349</v>
      </c>
      <c r="R190" s="10">
        <f>K190+P190</f>
        <v>849326.8188</v>
      </c>
    </row>
    <row r="191" spans="1:18">
      <c r="A191" s="8" t="s">
        <v>61</v>
      </c>
      <c r="B191" s="8" t="s">
        <v>210</v>
      </c>
      <c r="C191" s="9">
        <f>SUMIF($A$2:$A$186,"Tier 3",C$2:C$186)</f>
        <v>12674808</v>
      </c>
      <c r="D191" s="9">
        <f>SUMIF($A$2:$A$186,"Tier 3",D$2:D$186)</f>
        <v>493279</v>
      </c>
      <c r="E191" s="9">
        <f>SUMIF($A$2:$A$186,"Tier 3",E$2:E$186)</f>
        <v>12674808</v>
      </c>
      <c r="F191" s="9">
        <f>SUMIF($A$2:$A$186,"Tier 3",F$2:F$186)</f>
        <v>38024424</v>
      </c>
      <c r="G191" s="8"/>
      <c r="H191" s="9">
        <f>SUMIF($A$2:$A$186,"Tier 3",H$2:H$186)</f>
        <v>3802442.4000000004</v>
      </c>
      <c r="I191" s="8"/>
      <c r="J191" s="10">
        <f>SUMIF($A$2:$A$186,"Tier 3",J$2:J$186)</f>
        <v>19012.212000000003</v>
      </c>
      <c r="K191" s="10">
        <f>J191*12</f>
        <v>228146.54400000005</v>
      </c>
      <c r="L191" s="9">
        <f>SUMIF($A$2:$A$186,"Tier 3",L$2:L$186)</f>
        <v>11407327.200000001</v>
      </c>
      <c r="M191" s="9">
        <f>SUMIF($A$2:$A$186,"Tier 3",M$2:M$186)</f>
        <v>5703.663600000001</v>
      </c>
      <c r="N191" s="9">
        <f>SUMIF($A$2:$A$186,"Tier 3",N$2:N$186)</f>
        <v>2851.8318000000004</v>
      </c>
      <c r="O191" s="10">
        <f>SUMIF($A$2:$A$186,"Tier 3",O$2:O$186)</f>
        <v>20818.372140000003</v>
      </c>
      <c r="P191" s="10">
        <f>O191*12</f>
        <v>249820.46568000002</v>
      </c>
      <c r="Q191" s="10">
        <f>J191+O191</f>
        <v>39830.584140000006</v>
      </c>
      <c r="R191" s="10">
        <f>K191+P191</f>
        <v>477967.0096800001</v>
      </c>
    </row>
    <row r="192" spans="1:18">
      <c r="A192" s="8" t="s">
        <v>205</v>
      </c>
      <c r="B192" s="8" t="s">
        <v>206</v>
      </c>
      <c r="C192" s="9">
        <f>SUMIF($A$2:$A$186,"Russia",C$2:C$186)</f>
        <v>12288673</v>
      </c>
      <c r="D192" s="9">
        <f>SUMIF($A$2:$A$186,"Russia",D$2:D$186)</f>
        <v>433139</v>
      </c>
      <c r="E192" s="9">
        <f>SUMIF($A$2:$A$186,"Russia",E$2:E$186)</f>
        <v>12288673</v>
      </c>
      <c r="F192" s="9">
        <f>SUMIF($A$2:$A$186,"Russia",F$2:F$186)</f>
        <v>36866019</v>
      </c>
      <c r="G192" s="8"/>
      <c r="H192" s="9">
        <f>SUMIF($A$2:$A$186,"Russia",H$2:H$186)</f>
        <v>3686601.9000000004</v>
      </c>
      <c r="I192" s="8"/>
      <c r="J192" s="10">
        <f>SUMIF($A$2:$A$186,"Russia",J$2:J$186)</f>
        <v>7373.203800000001</v>
      </c>
      <c r="K192" s="10">
        <f>J192*12</f>
        <v>88478.4456</v>
      </c>
      <c r="L192" s="9">
        <f>SUMIF($A$2:$A$186,"Russia",L$2:L$186)</f>
        <v>11059805.700000001</v>
      </c>
      <c r="M192" s="9">
        <f>SUMIF($A$2:$A$186,"Russia",M$2:M$186)</f>
        <v>5529.90285</v>
      </c>
      <c r="N192" s="9">
        <f>SUMIF($A$2:$A$186,"Russia",N$2:N$186)</f>
        <v>2764.951425</v>
      </c>
      <c r="O192" s="10">
        <f>SUMIF($A$2:$A$186,"Russia",O$2:O$186)</f>
        <v>20184.145402500002</v>
      </c>
      <c r="P192" s="10">
        <f>O192*12</f>
        <v>242209.74483000004</v>
      </c>
      <c r="Q192" s="10">
        <f>J192+O192</f>
        <v>27557.3492025</v>
      </c>
      <c r="R192" s="10">
        <f>K192+P192</f>
        <v>330688.1904300001</v>
      </c>
    </row>
    <row r="193" spans="1:18">
      <c r="A193" s="11" t="s">
        <v>211</v>
      </c>
      <c r="B193" s="11" t="s">
        <v>212</v>
      </c>
      <c r="C193" s="12">
        <f>SUM(C189:C192)</f>
        <v>37354651</v>
      </c>
      <c r="D193" s="12">
        <f>SUM(D189:D192)</f>
        <v>1501910</v>
      </c>
      <c r="E193" s="12">
        <f>SUM(E189:E192)</f>
        <v>37354651</v>
      </c>
      <c r="F193" s="12">
        <f>SUM(F189:F192)</f>
        <v>112063953</v>
      </c>
      <c r="G193" s="11"/>
      <c r="H193" s="12">
        <f>SUM(H189:H192)</f>
        <v>14923746.3</v>
      </c>
      <c r="I193" s="11"/>
      <c r="J193" s="13">
        <f>SUM(J189:J192)</f>
        <v>109443.2508</v>
      </c>
      <c r="K193" s="13">
        <f>J193*12</f>
        <v>1313319.0096</v>
      </c>
      <c r="L193" s="12">
        <f>SUM(L189:L192)</f>
        <v>32380068.900000006</v>
      </c>
      <c r="M193" s="12">
        <f>SUM(M189:M192)</f>
        <v>16190.034450000003</v>
      </c>
      <c r="N193" s="12">
        <f>SUM(N189:N192)</f>
        <v>8095.017225000001</v>
      </c>
      <c r="O193" s="13">
        <f>SUM(O189:O192)</f>
        <v>59093.62574250001</v>
      </c>
      <c r="P193" s="13">
        <f>O193*12</f>
        <v>709123.5089100001</v>
      </c>
      <c r="Q193" s="13">
        <f>J193+O193</f>
        <v>168536.8765425</v>
      </c>
      <c r="R193" s="13">
        <f>K193+P193</f>
        <v>2022442.51851</v>
      </c>
    </row>
    <row r="194" spans="1:18">
      <c r="A194" s="11" t="s">
        <v>213</v>
      </c>
      <c r="B194" s="11" t="s">
        <v>214</v>
      </c>
      <c r="C194" s="12">
        <f>C189+C190+C191</f>
        <v>25065978</v>
      </c>
      <c r="D194" s="12">
        <f>D189+D190+D191</f>
        <v>1068771</v>
      </c>
      <c r="E194" s="12">
        <f>E189+E190+E191</f>
        <v>25065978</v>
      </c>
      <c r="F194" s="12">
        <f>F189+F190+F191</f>
        <v>75197934</v>
      </c>
      <c r="G194" s="11"/>
      <c r="H194" s="12">
        <f>H189+H190+H191</f>
        <v>11237144.4</v>
      </c>
      <c r="I194" s="11"/>
      <c r="J194" s="13">
        <f>J189+J190+J191</f>
        <v>102070.04699999999</v>
      </c>
      <c r="K194" s="13">
        <f>J194*12</f>
        <v>1224840.5639999998</v>
      </c>
      <c r="L194" s="12">
        <f>L189+L190+L191</f>
        <v>21320263.200000003</v>
      </c>
      <c r="M194" s="12">
        <f>M189+M190+M191</f>
        <v>10660.131600000002</v>
      </c>
      <c r="N194" s="12">
        <f>N189+N190+N191</f>
        <v>5330.065800000001</v>
      </c>
      <c r="O194" s="13">
        <f>O189+O190+O191</f>
        <v>38909.48034000001</v>
      </c>
      <c r="P194" s="13">
        <f>O194*12</f>
        <v>466913.7640800001</v>
      </c>
      <c r="Q194" s="13">
        <f>J194+O194</f>
        <v>140979.52734</v>
      </c>
      <c r="R194" s="13">
        <f>K194+P194</f>
        <v>1691754.32808</v>
      </c>
    </row>
    <row r="196" spans="1:18">
      <c r="A196" s="7" t="s">
        <v>215</v>
      </c>
    </row>
    <row r="197" spans="1:18">
      <c r="A197" s="14" t="s">
        <v>216</v>
      </c>
      <c r="B197" s="14" t="s">
        <v>6</v>
      </c>
      <c r="C197" s="14" t="s">
        <v>217</v>
      </c>
      <c r="D197" s="14" t="s">
        <v>218</v>
      </c>
      <c r="E197" s="14" t="s">
        <v>219</v>
      </c>
      <c r="F197" s="14" t="s">
        <v>220</v>
      </c>
      <c r="G197" s="14" t="s">
        <v>221</v>
      </c>
      <c r="H197" s="14" t="s">
        <v>222</v>
      </c>
      <c r="I197" s="14" t="s">
        <v>223</v>
      </c>
      <c r="J197" s="14" t="s">
        <v>224</v>
      </c>
    </row>
    <row r="198" spans="1:18">
      <c r="A198" s="15" t="s">
        <v>225</v>
      </c>
      <c r="B198" s="15" t="s">
        <v>226</v>
      </c>
      <c r="C198" s="15" t="s">
        <v>227</v>
      </c>
      <c r="D198" s="16">
        <f>F189*0.20/1000*15*12</f>
        <v>313589.33999999997</v>
      </c>
      <c r="E198" s="16">
        <f>F190*0.20/1000*10*12</f>
        <v>683104.6799999999</v>
      </c>
      <c r="F198" s="16">
        <f>F191*0.10/1000*5*12</f>
        <v>228146.54400000005</v>
      </c>
      <c r="G198" s="16">
        <f>F192*0.10/1000*2*12</f>
        <v>88478.4456</v>
      </c>
      <c r="H198" s="16">
        <f>D198+E198+F198+G198</f>
        <v>1313319.0096</v>
      </c>
      <c r="I198" s="16">
        <f>P193</f>
        <v>709123.5089100001</v>
      </c>
      <c r="J198" s="16">
        <f>H198+I198</f>
        <v>2022442.51851</v>
      </c>
    </row>
    <row r="199" spans="1:18">
      <c r="A199" s="15" t="s">
        <v>228</v>
      </c>
      <c r="B199" s="15" t="s">
        <v>226</v>
      </c>
      <c r="C199" s="15" t="s">
        <v>229</v>
      </c>
      <c r="D199" s="16">
        <f>F189*0.20/1000*20*12</f>
        <v>418119.12</v>
      </c>
      <c r="E199" s="16">
        <f>F190*0.20/1000*15*12</f>
        <v>1024657.0199999999</v>
      </c>
      <c r="F199" s="16">
        <f>F191*0.10/1000*5*12</f>
        <v>228146.54400000005</v>
      </c>
      <c r="G199" s="16">
        <f>F192*0.10/1000*2*12</f>
        <v>88478.4456</v>
      </c>
      <c r="H199" s="16">
        <f>D199+E199+F199+G199</f>
        <v>1759401.1295999999</v>
      </c>
      <c r="I199" s="16">
        <f>P193</f>
        <v>709123.5089100001</v>
      </c>
      <c r="J199" s="16">
        <f>H199+I199</f>
        <v>2468524.63851</v>
      </c>
    </row>
    <row r="200" spans="1:18">
      <c r="A200" s="15" t="s">
        <v>230</v>
      </c>
      <c r="B200" s="15" t="s">
        <v>231</v>
      </c>
      <c r="C200" s="15" t="s">
        <v>227</v>
      </c>
      <c r="D200" s="16">
        <f>F189*1.0/1000*15*12</f>
        <v>1567946.7000000002</v>
      </c>
      <c r="E200" s="16">
        <f>F190*1.0/1000*10*12</f>
        <v>3415523.4000000004</v>
      </c>
      <c r="F200" s="16">
        <f>F191*1.0/1000*5*12</f>
        <v>2281465.44</v>
      </c>
      <c r="G200" s="16">
        <f>F192*1.0/1000*2*12</f>
        <v>884784.456</v>
      </c>
      <c r="H200" s="16">
        <f>D200+E200+F200+G200</f>
        <v>8149719.996000001</v>
      </c>
      <c r="I200" s="16">
        <f>P193</f>
        <v>709123.5089100001</v>
      </c>
      <c r="J200" s="16">
        <f>H200+I200</f>
        <v>8858843.504910002</v>
      </c>
    </row>
    <row r="202" spans="1:18">
      <c r="A202" s="7" t="s">
        <v>232</v>
      </c>
    </row>
    <row r="203" spans="1:18">
      <c r="A203" s="17" t="s">
        <v>233</v>
      </c>
      <c r="B203" s="17" t="s">
        <v>234</v>
      </c>
      <c r="C203" s="17" t="s">
        <v>235</v>
      </c>
    </row>
    <row r="204" spans="1:18">
      <c r="A204" s="3" t="s">
        <v>236</v>
      </c>
      <c r="B204" s="3" t="s">
        <v>237</v>
      </c>
      <c r="C204" s="3" t="s">
        <v>238</v>
      </c>
    </row>
    <row r="205" spans="1:18">
      <c r="A205" s="3" t="s">
        <v>239</v>
      </c>
      <c r="B205" s="3" t="s">
        <v>240</v>
      </c>
      <c r="C205" s="3" t="s">
        <v>241</v>
      </c>
    </row>
    <row r="206" spans="1:18">
      <c r="A206" s="3" t="s">
        <v>242</v>
      </c>
      <c r="B206" s="3" t="s">
        <v>243</v>
      </c>
      <c r="C206" s="3" t="s">
        <v>244</v>
      </c>
    </row>
    <row r="207" spans="1:18">
      <c r="A207" s="3" t="s">
        <v>245</v>
      </c>
      <c r="B207" s="3" t="s">
        <v>246</v>
      </c>
      <c r="C207" s="3" t="s">
        <v>247</v>
      </c>
    </row>
    <row r="208" spans="1:18">
      <c r="A208" s="3" t="s">
        <v>248</v>
      </c>
      <c r="B208" s="3" t="s">
        <v>249</v>
      </c>
      <c r="C208" s="3" t="s">
        <v>250</v>
      </c>
    </row>
    <row r="209" spans="1:3">
      <c r="A209" s="3" t="s">
        <v>251</v>
      </c>
      <c r="B209" s="3" t="s">
        <v>252</v>
      </c>
      <c r="C209" s="3" t="s">
        <v>253</v>
      </c>
    </row>
    <row r="210" spans="1:3">
      <c r="A210" s="3" t="s">
        <v>254</v>
      </c>
      <c r="B210" s="3" t="s">
        <v>255</v>
      </c>
      <c r="C210" s="3" t="s">
        <v>256</v>
      </c>
    </row>
    <row r="211" spans="1:3">
      <c r="A211" s="3" t="s">
        <v>257</v>
      </c>
      <c r="B211" s="3" t="s">
        <v>258</v>
      </c>
      <c r="C211" s="3" t="s">
        <v>259</v>
      </c>
    </row>
    <row r="212" spans="1:3">
      <c r="A212" s="3" t="s">
        <v>260</v>
      </c>
      <c r="B212" s="3" t="s">
        <v>261</v>
      </c>
      <c r="C212" s="3" t="s">
        <v>262</v>
      </c>
    </row>
    <row r="213" spans="1:3">
      <c r="A213" s="3" t="s">
        <v>263</v>
      </c>
      <c r="B213" s="3" t="s">
        <v>264</v>
      </c>
      <c r="C213" s="3" t="s">
        <v>265</v>
      </c>
    </row>
    <row r="214" spans="1:3">
      <c r="A214" s="3" t="s">
        <v>205</v>
      </c>
      <c r="B214" s="3" t="s">
        <v>266</v>
      </c>
      <c r="C214" s="3" t="s">
        <v>267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Play Inter Biz Case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2026-03-24T10:49:48Z</dcterms:created>
  <dcterms:modified xsi:type="dcterms:W3CDTF">2026-03-24T10:49:48Z</dcterms:modified>
</cp:coreProperties>
</file>